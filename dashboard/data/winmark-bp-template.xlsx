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ate1904="1"/>
  <mc:AlternateContent xmlns:mc="http://schemas.openxmlformats.org/markup-compatibility/2006">
    <mc:Choice Requires="x15">
      <x15ac:absPath xmlns:x15ac="http://schemas.microsoft.com/office/spreadsheetml/2010/11/ac" url="https://winmarkcorporation605-my.sharepoint.com/personal/mnjie_winmarkcorporation_com/Documents/Buiness Planning/"/>
    </mc:Choice>
  </mc:AlternateContent>
  <xr:revisionPtr revIDLastSave="0" documentId="8_{22D12AD3-2F50-483C-BD7F-D619F7ABE46E}" xr6:coauthVersionLast="47" xr6:coauthVersionMax="47" xr10:uidLastSave="{00000000-0000-0000-0000-000000000000}"/>
  <bookViews>
    <workbookView xWindow="28695" yWindow="105" windowWidth="26010" windowHeight="20880" tabRatio="870" activeTab="1" xr2:uid="{00000000-000D-0000-FFFF-FFFF00000000}"/>
  </bookViews>
  <sheets>
    <sheet name="Indices_Margins" sheetId="10" r:id="rId1"/>
    <sheet name="Input" sheetId="1" r:id="rId2"/>
    <sheet name="P&amp;LY1" sheetId="6" r:id="rId3"/>
    <sheet name="Actuals" sheetId="13" r:id="rId4"/>
    <sheet name="P&amp;LY2" sheetId="9" r:id="rId5"/>
    <sheet name="Breakeven Calculation" sheetId="20" r:id="rId6"/>
    <sheet name="Payroll Budget" sheetId="21" r:id="rId7"/>
  </sheets>
  <definedNames>
    <definedName name="_xlnm.Print_Area" localSheetId="1">Input!$A$1:$Y$79</definedName>
    <definedName name="_xlnm.Print_Area" localSheetId="2">'P&amp;LY1'!$A$1:$Q$148</definedName>
    <definedName name="_xlnm.Print_Area" localSheetId="4">'P&amp;LY2'!$A$1:$Q$144</definedName>
    <definedName name="_xlnm.Print_Area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0" l="1"/>
  <c r="C13" i="21" l="1"/>
  <c r="D13" i="21" s="1"/>
  <c r="E13" i="21" s="1"/>
  <c r="F13" i="21" s="1"/>
  <c r="G13" i="21" s="1"/>
  <c r="H13" i="21" s="1"/>
  <c r="I13" i="21" s="1"/>
  <c r="J13" i="21" s="1"/>
  <c r="K13" i="21" s="1"/>
  <c r="L13" i="21" s="1"/>
  <c r="M13" i="21" s="1"/>
  <c r="N13" i="21" s="1"/>
  <c r="C17" i="21" l="1"/>
  <c r="C18" i="21" l="1"/>
  <c r="C19" i="21"/>
  <c r="C20" i="21"/>
  <c r="C21" i="21"/>
  <c r="C22" i="21"/>
  <c r="C23" i="21"/>
  <c r="C86" i="10" l="1"/>
  <c r="D86" i="10" s="1"/>
  <c r="E86" i="10" s="1"/>
  <c r="F86" i="10" s="1"/>
  <c r="G86" i="10" s="1"/>
  <c r="H86" i="10" s="1"/>
  <c r="I86" i="10" s="1"/>
  <c r="J86" i="10" s="1"/>
  <c r="K86" i="10" s="1"/>
  <c r="L86" i="10" s="1"/>
  <c r="M86" i="10" s="1"/>
  <c r="N86" i="10" s="1"/>
  <c r="C85" i="10"/>
  <c r="D85" i="10" s="1"/>
  <c r="E85" i="10" s="1"/>
  <c r="F85" i="10" s="1"/>
  <c r="G85" i="10" s="1"/>
  <c r="H85" i="10" s="1"/>
  <c r="I85" i="10" s="1"/>
  <c r="J85" i="10" s="1"/>
  <c r="K85" i="10" s="1"/>
  <c r="L85" i="10" s="1"/>
  <c r="M85" i="10" s="1"/>
  <c r="N85" i="10" s="1"/>
  <c r="C84" i="10"/>
  <c r="D84" i="10" s="1"/>
  <c r="E84" i="10" s="1"/>
  <c r="F84" i="10" s="1"/>
  <c r="G84" i="10" s="1"/>
  <c r="H84" i="10" s="1"/>
  <c r="I84" i="10" s="1"/>
  <c r="J84" i="10" s="1"/>
  <c r="K84" i="10" s="1"/>
  <c r="L84" i="10" s="1"/>
  <c r="M84" i="10" s="1"/>
  <c r="N84" i="10" s="1"/>
  <c r="C83" i="10"/>
  <c r="D83" i="10" s="1"/>
  <c r="E83" i="10" s="1"/>
  <c r="F83" i="10" s="1"/>
  <c r="G83" i="10" s="1"/>
  <c r="H83" i="10" s="1"/>
  <c r="I83" i="10" s="1"/>
  <c r="J83" i="10" s="1"/>
  <c r="K83" i="10" s="1"/>
  <c r="L83" i="10" s="1"/>
  <c r="M83" i="10" s="1"/>
  <c r="N83" i="10" s="1"/>
  <c r="C82" i="10"/>
  <c r="D82" i="10" s="1"/>
  <c r="E82" i="10" s="1"/>
  <c r="F82" i="10" s="1"/>
  <c r="G82" i="10" s="1"/>
  <c r="H82" i="10" s="1"/>
  <c r="I82" i="10" s="1"/>
  <c r="J82" i="10" s="1"/>
  <c r="K82" i="10" s="1"/>
  <c r="L82" i="10" s="1"/>
  <c r="M82" i="10" s="1"/>
  <c r="N82" i="10" s="1"/>
  <c r="C81" i="10"/>
  <c r="D81" i="10" s="1"/>
  <c r="E81" i="10" s="1"/>
  <c r="F81" i="10" s="1"/>
  <c r="G81" i="10" s="1"/>
  <c r="H81" i="10" s="1"/>
  <c r="I81" i="10" s="1"/>
  <c r="J81" i="10" s="1"/>
  <c r="K81" i="10" s="1"/>
  <c r="L81" i="10" s="1"/>
  <c r="M81" i="10" s="1"/>
  <c r="N81" i="10" s="1"/>
  <c r="C80" i="10"/>
  <c r="D80" i="10" s="1"/>
  <c r="E80" i="10" s="1"/>
  <c r="F80" i="10" s="1"/>
  <c r="G80" i="10" s="1"/>
  <c r="H80" i="10" s="1"/>
  <c r="I80" i="10" s="1"/>
  <c r="J80" i="10" s="1"/>
  <c r="K80" i="10" s="1"/>
  <c r="L80" i="10" s="1"/>
  <c r="M80" i="10" s="1"/>
  <c r="N80" i="10" s="1"/>
  <c r="C6" i="6" l="1"/>
  <c r="D23" i="21"/>
  <c r="D22" i="21"/>
  <c r="D21" i="21"/>
  <c r="D20" i="21"/>
  <c r="D19" i="21"/>
  <c r="D18" i="21"/>
  <c r="D17" i="21"/>
  <c r="E23" i="21" l="1"/>
  <c r="E22" i="21"/>
  <c r="E21" i="21"/>
  <c r="E20" i="21"/>
  <c r="E18" i="21"/>
  <c r="E17" i="21"/>
  <c r="E19" i="21"/>
  <c r="C5" i="21"/>
  <c r="C26" i="21" s="1"/>
  <c r="C144" i="6"/>
  <c r="F23" i="21" l="1"/>
  <c r="F22" i="21"/>
  <c r="F21" i="21"/>
  <c r="F20" i="21"/>
  <c r="F18" i="21"/>
  <c r="F17" i="21"/>
  <c r="F19" i="21"/>
  <c r="C8" i="21"/>
  <c r="K78" i="10"/>
  <c r="L78" i="10"/>
  <c r="M78" i="10"/>
  <c r="N78" i="10"/>
  <c r="E78" i="10"/>
  <c r="F78" i="10"/>
  <c r="G78" i="10"/>
  <c r="H78" i="10"/>
  <c r="I78" i="10"/>
  <c r="J78" i="10"/>
  <c r="D78" i="10"/>
  <c r="C78" i="10"/>
  <c r="G23" i="21" l="1"/>
  <c r="G22" i="21"/>
  <c r="G21" i="21"/>
  <c r="G20" i="21"/>
  <c r="G18" i="21"/>
  <c r="G17" i="21"/>
  <c r="G19" i="21"/>
  <c r="C15" i="1"/>
  <c r="C16" i="1" s="1"/>
  <c r="H23" i="21" l="1"/>
  <c r="H22" i="21"/>
  <c r="H21" i="21"/>
  <c r="H20" i="21"/>
  <c r="H18" i="21"/>
  <c r="H17" i="21"/>
  <c r="H19" i="21"/>
  <c r="C41" i="1"/>
  <c r="I23" i="21" l="1"/>
  <c r="I22" i="21"/>
  <c r="I21" i="21"/>
  <c r="I20" i="21"/>
  <c r="I18" i="21"/>
  <c r="I17" i="21"/>
  <c r="I19" i="21"/>
  <c r="T21" i="1"/>
  <c r="T25" i="1" s="1"/>
  <c r="T26" i="1" s="1"/>
  <c r="T29" i="1" s="1"/>
  <c r="J23" i="21" l="1"/>
  <c r="J22" i="21"/>
  <c r="J21" i="21"/>
  <c r="J20" i="21"/>
  <c r="J18" i="21"/>
  <c r="J17" i="21"/>
  <c r="J19" i="21"/>
  <c r="D6" i="6"/>
  <c r="D5" i="21" s="1"/>
  <c r="C43" i="20"/>
  <c r="C42" i="20"/>
  <c r="C41" i="20"/>
  <c r="C40" i="20"/>
  <c r="T93" i="1"/>
  <c r="H16" i="1"/>
  <c r="O4" i="10"/>
  <c r="I5" i="10" s="1"/>
  <c r="F15" i="10"/>
  <c r="O12" i="10"/>
  <c r="M13" i="10" s="1"/>
  <c r="A3" i="9"/>
  <c r="O115" i="6"/>
  <c r="O114" i="6"/>
  <c r="O93" i="6"/>
  <c r="O92" i="6"/>
  <c r="C6" i="13"/>
  <c r="C11" i="13" s="1"/>
  <c r="D6" i="13"/>
  <c r="D39" i="13" s="1"/>
  <c r="D52" i="13"/>
  <c r="E52" i="13"/>
  <c r="F52" i="13"/>
  <c r="F53" i="13" s="1"/>
  <c r="G52" i="13"/>
  <c r="H52" i="13"/>
  <c r="I52" i="13"/>
  <c r="J52" i="13"/>
  <c r="K52" i="13"/>
  <c r="L52" i="13"/>
  <c r="M52" i="13"/>
  <c r="N52" i="13"/>
  <c r="D53" i="13"/>
  <c r="E53" i="13"/>
  <c r="G53" i="13"/>
  <c r="H53" i="13"/>
  <c r="I53" i="13"/>
  <c r="J53" i="13"/>
  <c r="K53" i="13"/>
  <c r="L53" i="13"/>
  <c r="M53" i="13"/>
  <c r="N53" i="13"/>
  <c r="D54" i="13"/>
  <c r="E54" i="13"/>
  <c r="F54" i="13"/>
  <c r="G54" i="13"/>
  <c r="H54" i="13"/>
  <c r="I54" i="13"/>
  <c r="J54" i="13"/>
  <c r="K54" i="13"/>
  <c r="L54" i="13"/>
  <c r="M54" i="13"/>
  <c r="N54" i="13"/>
  <c r="D55" i="13"/>
  <c r="E55" i="13"/>
  <c r="F55" i="13"/>
  <c r="G55" i="13"/>
  <c r="H55" i="13"/>
  <c r="I55" i="13"/>
  <c r="J55" i="13"/>
  <c r="K55" i="13"/>
  <c r="L55" i="13"/>
  <c r="M55" i="13"/>
  <c r="N55" i="13"/>
  <c r="D47" i="13"/>
  <c r="E47" i="13"/>
  <c r="F47" i="13"/>
  <c r="F48" i="13" s="1"/>
  <c r="G47" i="13"/>
  <c r="H47" i="13"/>
  <c r="I47" i="13"/>
  <c r="J47" i="13"/>
  <c r="K47" i="13"/>
  <c r="L47" i="13"/>
  <c r="M47" i="13"/>
  <c r="N47" i="13"/>
  <c r="D48" i="13"/>
  <c r="E48" i="13"/>
  <c r="G48" i="13"/>
  <c r="H48" i="13"/>
  <c r="I48" i="13"/>
  <c r="J48" i="13"/>
  <c r="K48" i="13"/>
  <c r="L48" i="13"/>
  <c r="M48" i="13"/>
  <c r="N48" i="13"/>
  <c r="D49" i="13"/>
  <c r="E49" i="13"/>
  <c r="F49" i="13"/>
  <c r="G49" i="13"/>
  <c r="H49" i="13"/>
  <c r="I49" i="13"/>
  <c r="J49" i="13"/>
  <c r="K49" i="13"/>
  <c r="L49" i="13"/>
  <c r="M49" i="13"/>
  <c r="N49" i="13"/>
  <c r="D50" i="13"/>
  <c r="E50" i="13"/>
  <c r="F50" i="13"/>
  <c r="G50" i="13"/>
  <c r="H50" i="13"/>
  <c r="I50" i="13"/>
  <c r="J50" i="13"/>
  <c r="K50" i="13"/>
  <c r="L50" i="13"/>
  <c r="M50" i="13"/>
  <c r="N50" i="13"/>
  <c r="E6" i="13"/>
  <c r="E11" i="13"/>
  <c r="E12" i="13" s="1"/>
  <c r="F6" i="13"/>
  <c r="G6" i="13"/>
  <c r="G11" i="13" s="1"/>
  <c r="H6" i="13"/>
  <c r="H37" i="13" s="1"/>
  <c r="I6" i="13"/>
  <c r="I11" i="13" s="1"/>
  <c r="J6" i="13"/>
  <c r="J38" i="13" s="1"/>
  <c r="K6" i="13"/>
  <c r="K11" i="13" s="1"/>
  <c r="L6" i="13"/>
  <c r="L38" i="13" s="1"/>
  <c r="M6" i="13"/>
  <c r="M11" i="13"/>
  <c r="M44" i="13" s="1"/>
  <c r="N6" i="13"/>
  <c r="N40" i="13" s="1"/>
  <c r="D63" i="13"/>
  <c r="E63" i="13"/>
  <c r="F63" i="13"/>
  <c r="G63" i="13"/>
  <c r="H63" i="13"/>
  <c r="I63" i="13"/>
  <c r="K63" i="13"/>
  <c r="L63" i="13"/>
  <c r="M63" i="13"/>
  <c r="N63" i="13"/>
  <c r="D64" i="13"/>
  <c r="E64" i="13"/>
  <c r="F64" i="13"/>
  <c r="G64" i="13"/>
  <c r="H64" i="13"/>
  <c r="I64" i="13"/>
  <c r="K64" i="13"/>
  <c r="L64" i="13"/>
  <c r="M64" i="13"/>
  <c r="N64" i="13"/>
  <c r="O4" i="13"/>
  <c r="O5" i="13"/>
  <c r="O8" i="13"/>
  <c r="O9" i="13"/>
  <c r="E31" i="13"/>
  <c r="F31" i="13"/>
  <c r="F32" i="13" s="1"/>
  <c r="G31" i="13"/>
  <c r="H31" i="13"/>
  <c r="I31" i="13"/>
  <c r="J31" i="13"/>
  <c r="K31" i="13"/>
  <c r="L31" i="13"/>
  <c r="M31" i="13"/>
  <c r="N31" i="13"/>
  <c r="E32" i="13"/>
  <c r="G32" i="13"/>
  <c r="H32" i="13"/>
  <c r="I32" i="13"/>
  <c r="J32" i="13"/>
  <c r="K32" i="13"/>
  <c r="L32" i="13"/>
  <c r="M32" i="13"/>
  <c r="N32" i="13"/>
  <c r="E33" i="13"/>
  <c r="F33" i="13"/>
  <c r="F34" i="13" s="1"/>
  <c r="G33" i="13"/>
  <c r="H33" i="13"/>
  <c r="I33" i="13"/>
  <c r="J33" i="13"/>
  <c r="K33" i="13"/>
  <c r="L33" i="13"/>
  <c r="M33" i="13"/>
  <c r="N33" i="13"/>
  <c r="E34" i="13"/>
  <c r="G34" i="13"/>
  <c r="H34" i="13"/>
  <c r="I34" i="13"/>
  <c r="J34" i="13"/>
  <c r="K34" i="13"/>
  <c r="L34" i="13"/>
  <c r="M34" i="13"/>
  <c r="N34" i="13"/>
  <c r="D33" i="13"/>
  <c r="D34" i="13"/>
  <c r="D31" i="13"/>
  <c r="D32" i="13"/>
  <c r="E26" i="13"/>
  <c r="F26" i="13"/>
  <c r="F27" i="13" s="1"/>
  <c r="G26" i="13"/>
  <c r="H26" i="13"/>
  <c r="I26" i="13"/>
  <c r="J26" i="13"/>
  <c r="K26" i="13"/>
  <c r="L26" i="13"/>
  <c r="M26" i="13"/>
  <c r="N26" i="13"/>
  <c r="E27" i="13"/>
  <c r="G27" i="13"/>
  <c r="H27" i="13"/>
  <c r="I27" i="13"/>
  <c r="J27" i="13"/>
  <c r="K27" i="13"/>
  <c r="L27" i="13"/>
  <c r="M27" i="13"/>
  <c r="N27" i="13"/>
  <c r="E28" i="13"/>
  <c r="F28" i="13"/>
  <c r="G28" i="13"/>
  <c r="H28" i="13"/>
  <c r="I28" i="13"/>
  <c r="J28" i="13"/>
  <c r="K28" i="13"/>
  <c r="L28" i="13"/>
  <c r="M28" i="13"/>
  <c r="N28" i="13"/>
  <c r="E29" i="13"/>
  <c r="F29" i="13"/>
  <c r="G29" i="13"/>
  <c r="H29" i="13"/>
  <c r="I29" i="13"/>
  <c r="J29" i="13"/>
  <c r="K29" i="13"/>
  <c r="L29" i="13"/>
  <c r="M29" i="13"/>
  <c r="N29" i="13"/>
  <c r="D28" i="13"/>
  <c r="D29" i="13"/>
  <c r="D26" i="13"/>
  <c r="D27" i="13"/>
  <c r="E57" i="13"/>
  <c r="E58" i="13"/>
  <c r="F57" i="13"/>
  <c r="F58" i="13"/>
  <c r="G57" i="13"/>
  <c r="G58" i="13"/>
  <c r="H57" i="13"/>
  <c r="H58" i="13"/>
  <c r="I57" i="13"/>
  <c r="I58" i="13"/>
  <c r="J57" i="13"/>
  <c r="J58" i="13"/>
  <c r="K57" i="13"/>
  <c r="K58" i="13"/>
  <c r="L57" i="13"/>
  <c r="L58" i="13"/>
  <c r="M57" i="13"/>
  <c r="M58" i="13"/>
  <c r="N57" i="13"/>
  <c r="N58" i="13"/>
  <c r="D57" i="13"/>
  <c r="D58" i="13"/>
  <c r="F60" i="13"/>
  <c r="F61" i="13" s="1"/>
  <c r="G60" i="13"/>
  <c r="G61" i="13"/>
  <c r="H60" i="13"/>
  <c r="H61" i="13"/>
  <c r="I60" i="13"/>
  <c r="I61" i="13"/>
  <c r="J60" i="13"/>
  <c r="J61" i="13"/>
  <c r="K60" i="13"/>
  <c r="K61" i="13"/>
  <c r="L60" i="13"/>
  <c r="L61" i="13"/>
  <c r="M60" i="13"/>
  <c r="M61" i="13"/>
  <c r="N60" i="13"/>
  <c r="N61" i="13"/>
  <c r="D60" i="13"/>
  <c r="D61" i="13"/>
  <c r="E60" i="13"/>
  <c r="E61" i="13"/>
  <c r="J63" i="13"/>
  <c r="J64" i="13"/>
  <c r="C54" i="13"/>
  <c r="C55" i="13"/>
  <c r="C52" i="13"/>
  <c r="C53" i="13"/>
  <c r="C49" i="13"/>
  <c r="C50" i="13"/>
  <c r="C47" i="13"/>
  <c r="C48" i="13"/>
  <c r="C63" i="13"/>
  <c r="C64" i="13"/>
  <c r="C57" i="13"/>
  <c r="C58" i="13"/>
  <c r="C60" i="13"/>
  <c r="C61" i="13"/>
  <c r="D30" i="6"/>
  <c r="D31" i="6"/>
  <c r="M6" i="1"/>
  <c r="D35" i="6"/>
  <c r="E30" i="6"/>
  <c r="E31" i="6"/>
  <c r="E35" i="6"/>
  <c r="F30" i="6"/>
  <c r="F31" i="6"/>
  <c r="F35" i="6"/>
  <c r="G30" i="6"/>
  <c r="G31" i="6"/>
  <c r="G35" i="6"/>
  <c r="H30" i="6"/>
  <c r="H31" i="6"/>
  <c r="H35" i="6"/>
  <c r="I30" i="6"/>
  <c r="I31" i="6"/>
  <c r="I35" i="6"/>
  <c r="J30" i="6"/>
  <c r="J31" i="6"/>
  <c r="J35" i="6"/>
  <c r="K30" i="6"/>
  <c r="K31" i="6"/>
  <c r="K35" i="6"/>
  <c r="L30" i="6"/>
  <c r="L31" i="6"/>
  <c r="L35" i="6"/>
  <c r="M30" i="6"/>
  <c r="M31" i="6"/>
  <c r="M35" i="6"/>
  <c r="N30" i="6"/>
  <c r="N31" i="6"/>
  <c r="N35" i="6"/>
  <c r="C30" i="6"/>
  <c r="C31" i="6"/>
  <c r="C35" i="6"/>
  <c r="G14" i="1"/>
  <c r="H14" i="1"/>
  <c r="I14" i="1" s="1"/>
  <c r="D39" i="6"/>
  <c r="D43" i="6"/>
  <c r="D44" i="6"/>
  <c r="D45" i="6"/>
  <c r="D46" i="6"/>
  <c r="D47" i="6"/>
  <c r="D48" i="6"/>
  <c r="D50" i="6"/>
  <c r="D51" i="6"/>
  <c r="D52" i="6"/>
  <c r="D53" i="6"/>
  <c r="D54" i="6"/>
  <c r="D55" i="6"/>
  <c r="D56" i="6"/>
  <c r="D57" i="6"/>
  <c r="E39" i="6"/>
  <c r="E43" i="6"/>
  <c r="E44" i="6"/>
  <c r="E45" i="6"/>
  <c r="E46" i="6"/>
  <c r="E47" i="6"/>
  <c r="E48" i="6"/>
  <c r="E50" i="6"/>
  <c r="E51" i="6"/>
  <c r="E52" i="6"/>
  <c r="E53" i="6"/>
  <c r="E54" i="6"/>
  <c r="E55" i="6"/>
  <c r="E56" i="6"/>
  <c r="E57" i="6"/>
  <c r="F39" i="6"/>
  <c r="F43" i="6"/>
  <c r="F44" i="6"/>
  <c r="F45" i="6"/>
  <c r="F46" i="6"/>
  <c r="F47" i="6"/>
  <c r="F48" i="6"/>
  <c r="F50" i="6"/>
  <c r="F51" i="6"/>
  <c r="F52" i="6"/>
  <c r="F53" i="6"/>
  <c r="F54" i="6"/>
  <c r="F55" i="6"/>
  <c r="F56" i="6"/>
  <c r="F57" i="6"/>
  <c r="G39" i="6"/>
  <c r="G43" i="6"/>
  <c r="G44" i="6"/>
  <c r="G45" i="6"/>
  <c r="G46" i="6"/>
  <c r="G47" i="6"/>
  <c r="G48" i="6"/>
  <c r="G50" i="6"/>
  <c r="G51" i="6"/>
  <c r="G52" i="6"/>
  <c r="G53" i="6"/>
  <c r="G54" i="6"/>
  <c r="G55" i="6"/>
  <c r="G56" i="6"/>
  <c r="G57" i="6"/>
  <c r="H39" i="6"/>
  <c r="H43" i="6"/>
  <c r="H44" i="6"/>
  <c r="H45" i="6"/>
  <c r="H46" i="6"/>
  <c r="H47" i="6"/>
  <c r="H48" i="6"/>
  <c r="H50" i="6"/>
  <c r="H51" i="6"/>
  <c r="H52" i="6"/>
  <c r="H53" i="6"/>
  <c r="H54" i="6"/>
  <c r="H55" i="6"/>
  <c r="H56" i="6"/>
  <c r="H57" i="6"/>
  <c r="I39" i="6"/>
  <c r="I43" i="6"/>
  <c r="I44" i="6"/>
  <c r="I45" i="6"/>
  <c r="I46" i="6"/>
  <c r="I47" i="6"/>
  <c r="I48" i="6"/>
  <c r="I50" i="6"/>
  <c r="I51" i="6"/>
  <c r="I52" i="6"/>
  <c r="I53" i="6"/>
  <c r="I54" i="6"/>
  <c r="I55" i="6"/>
  <c r="I56" i="6"/>
  <c r="I57" i="6"/>
  <c r="J39" i="6"/>
  <c r="J43" i="6"/>
  <c r="J44" i="6"/>
  <c r="J45" i="6"/>
  <c r="J46" i="6"/>
  <c r="J47" i="6"/>
  <c r="J48" i="6"/>
  <c r="J50" i="6"/>
  <c r="J51" i="6"/>
  <c r="J52" i="6"/>
  <c r="J53" i="6"/>
  <c r="J54" i="6"/>
  <c r="J55" i="6"/>
  <c r="J56" i="6"/>
  <c r="J57" i="6"/>
  <c r="K39" i="6"/>
  <c r="K43" i="6"/>
  <c r="K44" i="6"/>
  <c r="K45" i="6"/>
  <c r="K46" i="6"/>
  <c r="K47" i="6"/>
  <c r="K48" i="6"/>
  <c r="K50" i="6"/>
  <c r="K51" i="6"/>
  <c r="K52" i="6"/>
  <c r="K53" i="6"/>
  <c r="K54" i="6"/>
  <c r="K55" i="6"/>
  <c r="K56" i="6"/>
  <c r="K57" i="6"/>
  <c r="L39" i="6"/>
  <c r="L43" i="6"/>
  <c r="L44" i="6"/>
  <c r="L45" i="6"/>
  <c r="L46" i="6"/>
  <c r="L47" i="6"/>
  <c r="L48" i="6"/>
  <c r="L50" i="6"/>
  <c r="L51" i="6"/>
  <c r="L52" i="6"/>
  <c r="L53" i="6"/>
  <c r="L54" i="6"/>
  <c r="L55" i="6"/>
  <c r="L56" i="6"/>
  <c r="L57" i="6"/>
  <c r="M39" i="6"/>
  <c r="M43" i="6"/>
  <c r="M44" i="6"/>
  <c r="M45" i="6"/>
  <c r="M46" i="6"/>
  <c r="M47" i="6"/>
  <c r="M48" i="6"/>
  <c r="M50" i="6"/>
  <c r="M51" i="6"/>
  <c r="M52" i="6"/>
  <c r="M53" i="6"/>
  <c r="M54" i="6"/>
  <c r="M55" i="6"/>
  <c r="M56" i="6"/>
  <c r="M57" i="6"/>
  <c r="N39" i="6"/>
  <c r="N43" i="6"/>
  <c r="N44" i="6"/>
  <c r="N45" i="6"/>
  <c r="N46" i="6"/>
  <c r="N47" i="6"/>
  <c r="N48" i="6"/>
  <c r="N50" i="6"/>
  <c r="N51" i="6"/>
  <c r="N52" i="6"/>
  <c r="N53" i="6"/>
  <c r="N54" i="6"/>
  <c r="N55" i="6"/>
  <c r="N56" i="6"/>
  <c r="N57" i="6"/>
  <c r="C39" i="6"/>
  <c r="C43" i="6"/>
  <c r="C44" i="6"/>
  <c r="C45" i="6"/>
  <c r="C46" i="6"/>
  <c r="C47" i="6"/>
  <c r="C48" i="6"/>
  <c r="C50" i="6"/>
  <c r="C51" i="6"/>
  <c r="C52" i="6"/>
  <c r="C53" i="6"/>
  <c r="C54" i="6"/>
  <c r="C55" i="6"/>
  <c r="C56" i="6"/>
  <c r="C57" i="6"/>
  <c r="C72" i="6"/>
  <c r="O72" i="6" s="1"/>
  <c r="C104" i="6"/>
  <c r="C62" i="6" s="1"/>
  <c r="C113" i="6"/>
  <c r="C63" i="6" s="1"/>
  <c r="C118" i="6"/>
  <c r="C64" i="6" s="1"/>
  <c r="C108" i="6"/>
  <c r="C65" i="6" s="1"/>
  <c r="C83" i="6"/>
  <c r="C55" i="1"/>
  <c r="C86" i="6"/>
  <c r="C87" i="6"/>
  <c r="C119" i="6" s="1"/>
  <c r="C89" i="6"/>
  <c r="D83" i="6"/>
  <c r="D86" i="6"/>
  <c r="D89" i="6"/>
  <c r="E83" i="6"/>
  <c r="E86" i="6"/>
  <c r="E89" i="6"/>
  <c r="F83" i="6"/>
  <c r="F86" i="6"/>
  <c r="F89" i="6"/>
  <c r="G83" i="6"/>
  <c r="G86" i="6"/>
  <c r="G89" i="6"/>
  <c r="H83" i="6"/>
  <c r="H86" i="6"/>
  <c r="H89" i="6"/>
  <c r="I83" i="6"/>
  <c r="I86" i="6"/>
  <c r="I89" i="6"/>
  <c r="J83" i="6"/>
  <c r="J86" i="6"/>
  <c r="J89" i="6"/>
  <c r="K83" i="6"/>
  <c r="K86" i="6"/>
  <c r="K89" i="6"/>
  <c r="L83" i="6"/>
  <c r="L86" i="6"/>
  <c r="L89" i="6"/>
  <c r="M83" i="6"/>
  <c r="M86" i="6"/>
  <c r="M89" i="6"/>
  <c r="N83" i="6"/>
  <c r="N86" i="6"/>
  <c r="N89" i="6"/>
  <c r="D38" i="9"/>
  <c r="E38" i="9"/>
  <c r="F38" i="9"/>
  <c r="G38" i="9"/>
  <c r="H38" i="9"/>
  <c r="I38" i="9"/>
  <c r="J38" i="9"/>
  <c r="K38" i="9"/>
  <c r="L38" i="9"/>
  <c r="M38" i="9"/>
  <c r="N38" i="9"/>
  <c r="C38" i="9"/>
  <c r="N58" i="10"/>
  <c r="D74" i="10" s="1"/>
  <c r="N50" i="10"/>
  <c r="C74" i="10" s="1"/>
  <c r="M58" i="10"/>
  <c r="D73" i="10" s="1"/>
  <c r="M50" i="10"/>
  <c r="C73" i="10" s="1"/>
  <c r="L58" i="10"/>
  <c r="D72" i="10" s="1"/>
  <c r="L50" i="10"/>
  <c r="C72" i="10" s="1"/>
  <c r="K58" i="10"/>
  <c r="D71" i="10" s="1"/>
  <c r="K50" i="10"/>
  <c r="C71" i="10" s="1"/>
  <c r="J58" i="10"/>
  <c r="D70" i="10" s="1"/>
  <c r="J50" i="10"/>
  <c r="C70" i="10" s="1"/>
  <c r="I58" i="10"/>
  <c r="D69" i="10" s="1"/>
  <c r="I50" i="10"/>
  <c r="C69" i="10" s="1"/>
  <c r="H58" i="10"/>
  <c r="D68" i="10" s="1"/>
  <c r="H50" i="10"/>
  <c r="C68" i="10" s="1"/>
  <c r="G58" i="10"/>
  <c r="D67" i="10" s="1"/>
  <c r="G50" i="10"/>
  <c r="C67" i="10" s="1"/>
  <c r="F58" i="10"/>
  <c r="D66" i="10" s="1"/>
  <c r="F50" i="10"/>
  <c r="C66" i="10" s="1"/>
  <c r="E58" i="10"/>
  <c r="D65" i="10" s="1"/>
  <c r="E50" i="10"/>
  <c r="C65" i="10" s="1"/>
  <c r="D58" i="10"/>
  <c r="D64" i="10" s="1"/>
  <c r="D50" i="10"/>
  <c r="C64" i="10" s="1"/>
  <c r="C58" i="10"/>
  <c r="D63" i="10" s="1"/>
  <c r="C50" i="10"/>
  <c r="C63" i="10" s="1"/>
  <c r="T53" i="1" s="1"/>
  <c r="O20" i="10"/>
  <c r="G21" i="10" s="1"/>
  <c r="O22" i="10"/>
  <c r="O6" i="10"/>
  <c r="F7" i="10" s="1"/>
  <c r="H15" i="1"/>
  <c r="E72" i="1"/>
  <c r="C72" i="1"/>
  <c r="B60" i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C47" i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A4" i="6"/>
  <c r="A3" i="6"/>
  <c r="A2" i="6"/>
  <c r="A57" i="6"/>
  <c r="A56" i="6"/>
  <c r="A55" i="6"/>
  <c r="A54" i="6"/>
  <c r="A53" i="6"/>
  <c r="A51" i="6"/>
  <c r="A52" i="6"/>
  <c r="A50" i="6"/>
  <c r="A49" i="6"/>
  <c r="A47" i="6"/>
  <c r="A48" i="6"/>
  <c r="A46" i="6"/>
  <c r="A45" i="6"/>
  <c r="A44" i="6"/>
  <c r="A43" i="6"/>
  <c r="A41" i="6"/>
  <c r="A14" i="20" s="1"/>
  <c r="A42" i="6"/>
  <c r="A40" i="6"/>
  <c r="A11" i="20" s="1"/>
  <c r="A39" i="6"/>
  <c r="A38" i="6"/>
  <c r="A10" i="20" s="1"/>
  <c r="A35" i="6"/>
  <c r="A34" i="6"/>
  <c r="A33" i="6"/>
  <c r="A32" i="6"/>
  <c r="A12" i="20" s="1"/>
  <c r="A31" i="6"/>
  <c r="A30" i="6"/>
  <c r="C88" i="9"/>
  <c r="D88" i="9"/>
  <c r="E88" i="9"/>
  <c r="F88" i="9"/>
  <c r="G88" i="9"/>
  <c r="H88" i="9"/>
  <c r="I88" i="9"/>
  <c r="J88" i="9"/>
  <c r="K88" i="9"/>
  <c r="L88" i="9"/>
  <c r="M88" i="9"/>
  <c r="N88" i="9"/>
  <c r="A4" i="9"/>
  <c r="A2" i="9"/>
  <c r="D85" i="9"/>
  <c r="E85" i="9"/>
  <c r="F85" i="9"/>
  <c r="G85" i="9"/>
  <c r="H85" i="9"/>
  <c r="I85" i="9"/>
  <c r="J85" i="9"/>
  <c r="K85" i="9"/>
  <c r="L85" i="9"/>
  <c r="M85" i="9"/>
  <c r="N85" i="9"/>
  <c r="C85" i="9"/>
  <c r="C30" i="9"/>
  <c r="C35" i="9"/>
  <c r="C42" i="9"/>
  <c r="C43" i="9"/>
  <c r="C44" i="9"/>
  <c r="C45" i="9"/>
  <c r="C46" i="9"/>
  <c r="C47" i="9"/>
  <c r="C49" i="9"/>
  <c r="C50" i="9"/>
  <c r="C51" i="9"/>
  <c r="C52" i="9"/>
  <c r="C53" i="9"/>
  <c r="C54" i="9"/>
  <c r="C55" i="9"/>
  <c r="C56" i="9"/>
  <c r="D30" i="9"/>
  <c r="D35" i="9"/>
  <c r="D42" i="9"/>
  <c r="D43" i="9"/>
  <c r="D44" i="9"/>
  <c r="D45" i="9"/>
  <c r="D46" i="9"/>
  <c r="D47" i="9"/>
  <c r="D49" i="9"/>
  <c r="D50" i="9"/>
  <c r="D51" i="9"/>
  <c r="D52" i="9"/>
  <c r="D53" i="9"/>
  <c r="D54" i="9"/>
  <c r="D55" i="9"/>
  <c r="D56" i="9"/>
  <c r="E30" i="9"/>
  <c r="E35" i="9"/>
  <c r="E42" i="9"/>
  <c r="E43" i="9"/>
  <c r="E44" i="9"/>
  <c r="E45" i="9"/>
  <c r="E46" i="9"/>
  <c r="E47" i="9"/>
  <c r="E49" i="9"/>
  <c r="E50" i="9"/>
  <c r="E51" i="9"/>
  <c r="E52" i="9"/>
  <c r="E53" i="9"/>
  <c r="E54" i="9"/>
  <c r="E55" i="9"/>
  <c r="E56" i="9"/>
  <c r="F30" i="9"/>
  <c r="F35" i="9"/>
  <c r="F42" i="9"/>
  <c r="F43" i="9"/>
  <c r="F44" i="9"/>
  <c r="F45" i="9"/>
  <c r="F46" i="9"/>
  <c r="F47" i="9"/>
  <c r="F49" i="9"/>
  <c r="F50" i="9"/>
  <c r="F51" i="9"/>
  <c r="F52" i="9"/>
  <c r="F53" i="9"/>
  <c r="F54" i="9"/>
  <c r="F55" i="9"/>
  <c r="F56" i="9"/>
  <c r="G30" i="9"/>
  <c r="G35" i="9"/>
  <c r="G42" i="9"/>
  <c r="G43" i="9"/>
  <c r="G44" i="9"/>
  <c r="G45" i="9"/>
  <c r="G46" i="9"/>
  <c r="G47" i="9"/>
  <c r="G49" i="9"/>
  <c r="G50" i="9"/>
  <c r="G51" i="9"/>
  <c r="G52" i="9"/>
  <c r="G53" i="9"/>
  <c r="G54" i="9"/>
  <c r="G55" i="9"/>
  <c r="G56" i="9"/>
  <c r="H30" i="9"/>
  <c r="H35" i="9"/>
  <c r="H42" i="9"/>
  <c r="H43" i="9"/>
  <c r="H44" i="9"/>
  <c r="H45" i="9"/>
  <c r="H46" i="9"/>
  <c r="H47" i="9"/>
  <c r="H49" i="9"/>
  <c r="H50" i="9"/>
  <c r="H51" i="9"/>
  <c r="H52" i="9"/>
  <c r="H53" i="9"/>
  <c r="H54" i="9"/>
  <c r="H55" i="9"/>
  <c r="H56" i="9"/>
  <c r="I30" i="9"/>
  <c r="I35" i="9"/>
  <c r="I42" i="9"/>
  <c r="I43" i="9"/>
  <c r="I44" i="9"/>
  <c r="I45" i="9"/>
  <c r="I46" i="9"/>
  <c r="I47" i="9"/>
  <c r="I49" i="9"/>
  <c r="I50" i="9"/>
  <c r="I51" i="9"/>
  <c r="I52" i="9"/>
  <c r="I53" i="9"/>
  <c r="I54" i="9"/>
  <c r="I55" i="9"/>
  <c r="I56" i="9"/>
  <c r="J30" i="9"/>
  <c r="J35" i="9"/>
  <c r="J42" i="9"/>
  <c r="J43" i="9"/>
  <c r="J44" i="9"/>
  <c r="J45" i="9"/>
  <c r="J46" i="9"/>
  <c r="J47" i="9"/>
  <c r="J49" i="9"/>
  <c r="J50" i="9"/>
  <c r="J51" i="9"/>
  <c r="J52" i="9"/>
  <c r="J53" i="9"/>
  <c r="J54" i="9"/>
  <c r="J55" i="9"/>
  <c r="J56" i="9"/>
  <c r="K30" i="9"/>
  <c r="K35" i="9"/>
  <c r="K42" i="9"/>
  <c r="K43" i="9"/>
  <c r="K44" i="9"/>
  <c r="K45" i="9"/>
  <c r="K46" i="9"/>
  <c r="K47" i="9"/>
  <c r="K49" i="9"/>
  <c r="K50" i="9"/>
  <c r="K51" i="9"/>
  <c r="K52" i="9"/>
  <c r="K53" i="9"/>
  <c r="K54" i="9"/>
  <c r="K55" i="9"/>
  <c r="K56" i="9"/>
  <c r="L30" i="9"/>
  <c r="L35" i="9"/>
  <c r="L42" i="9"/>
  <c r="L43" i="9"/>
  <c r="L44" i="9"/>
  <c r="L45" i="9"/>
  <c r="L46" i="9"/>
  <c r="L47" i="9"/>
  <c r="L49" i="9"/>
  <c r="L50" i="9"/>
  <c r="L51" i="9"/>
  <c r="L52" i="9"/>
  <c r="L53" i="9"/>
  <c r="L54" i="9"/>
  <c r="L55" i="9"/>
  <c r="L56" i="9"/>
  <c r="M30" i="9"/>
  <c r="M35" i="9"/>
  <c r="M42" i="9"/>
  <c r="M43" i="9"/>
  <c r="M44" i="9"/>
  <c r="M45" i="9"/>
  <c r="M46" i="9"/>
  <c r="M47" i="9"/>
  <c r="M49" i="9"/>
  <c r="M50" i="9"/>
  <c r="M51" i="9"/>
  <c r="M52" i="9"/>
  <c r="M53" i="9"/>
  <c r="M54" i="9"/>
  <c r="M55" i="9"/>
  <c r="M56" i="9"/>
  <c r="N30" i="9"/>
  <c r="N35" i="9"/>
  <c r="N42" i="9"/>
  <c r="N43" i="9"/>
  <c r="N44" i="9"/>
  <c r="N45" i="9"/>
  <c r="N46" i="9"/>
  <c r="N47" i="9"/>
  <c r="N49" i="9"/>
  <c r="N50" i="9"/>
  <c r="N51" i="9"/>
  <c r="N52" i="9"/>
  <c r="N53" i="9"/>
  <c r="N54" i="9"/>
  <c r="N55" i="9"/>
  <c r="N56" i="9"/>
  <c r="A56" i="9"/>
  <c r="A55" i="9"/>
  <c r="C82" i="9"/>
  <c r="D82" i="9"/>
  <c r="E82" i="9"/>
  <c r="F82" i="9"/>
  <c r="G82" i="9"/>
  <c r="H82" i="9"/>
  <c r="I82" i="9"/>
  <c r="J82" i="9"/>
  <c r="K82" i="9"/>
  <c r="L82" i="9"/>
  <c r="M82" i="9"/>
  <c r="N82" i="9"/>
  <c r="A54" i="9"/>
  <c r="A53" i="9"/>
  <c r="A52" i="9"/>
  <c r="A50" i="9"/>
  <c r="A51" i="9"/>
  <c r="A49" i="9"/>
  <c r="A48" i="9"/>
  <c r="A46" i="9"/>
  <c r="A47" i="9"/>
  <c r="A45" i="9"/>
  <c r="A44" i="9"/>
  <c r="A43" i="9"/>
  <c r="A42" i="9"/>
  <c r="A40" i="9"/>
  <c r="A41" i="9"/>
  <c r="A39" i="9"/>
  <c r="A38" i="9"/>
  <c r="A37" i="9"/>
  <c r="A35" i="9"/>
  <c r="A34" i="9"/>
  <c r="A33" i="9"/>
  <c r="A32" i="9"/>
  <c r="A31" i="9"/>
  <c r="A30" i="9"/>
  <c r="M31" i="9"/>
  <c r="M45" i="13"/>
  <c r="L39" i="13"/>
  <c r="D38" i="13"/>
  <c r="N37" i="13"/>
  <c r="J37" i="13"/>
  <c r="J39" i="13"/>
  <c r="J11" i="13"/>
  <c r="J44" i="13" s="1"/>
  <c r="F11" i="13"/>
  <c r="F42" i="13" s="1"/>
  <c r="G40" i="13"/>
  <c r="M39" i="13"/>
  <c r="I39" i="13"/>
  <c r="E39" i="13"/>
  <c r="K38" i="13"/>
  <c r="G38" i="13"/>
  <c r="M37" i="13"/>
  <c r="I37" i="13"/>
  <c r="E37" i="13"/>
  <c r="M40" i="13"/>
  <c r="I40" i="13"/>
  <c r="E40" i="13"/>
  <c r="K39" i="13"/>
  <c r="G39" i="13"/>
  <c r="M38" i="13"/>
  <c r="I38" i="13"/>
  <c r="E38" i="13"/>
  <c r="G37" i="13"/>
  <c r="C136" i="6"/>
  <c r="C127" i="6"/>
  <c r="G45" i="13" l="1"/>
  <c r="G43" i="13"/>
  <c r="L40" i="13"/>
  <c r="D40" i="13"/>
  <c r="D37" i="13"/>
  <c r="C116" i="6"/>
  <c r="D113" i="6" s="1"/>
  <c r="D63" i="6" s="1"/>
  <c r="D11" i="13"/>
  <c r="K23" i="21"/>
  <c r="K22" i="21"/>
  <c r="K21" i="21"/>
  <c r="K20" i="21"/>
  <c r="K18" i="21"/>
  <c r="K17" i="21"/>
  <c r="K19" i="21"/>
  <c r="D26" i="21"/>
  <c r="D8" i="21"/>
  <c r="F39" i="13"/>
  <c r="F40" i="13" s="1"/>
  <c r="F43" i="13"/>
  <c r="O52" i="9"/>
  <c r="I16" i="1"/>
  <c r="P72" i="1" s="1"/>
  <c r="V21" i="1"/>
  <c r="V25" i="1" s="1"/>
  <c r="V26" i="1" s="1"/>
  <c r="V29" i="1" s="1"/>
  <c r="C31" i="9"/>
  <c r="D31" i="9"/>
  <c r="O46" i="9"/>
  <c r="I15" i="1"/>
  <c r="O53" i="9"/>
  <c r="O47" i="9"/>
  <c r="O86" i="6"/>
  <c r="G44" i="13"/>
  <c r="G42" i="13"/>
  <c r="G12" i="13"/>
  <c r="N11" i="13"/>
  <c r="J45" i="13"/>
  <c r="N39" i="13"/>
  <c r="N38" i="13"/>
  <c r="O45" i="6"/>
  <c r="D28" i="20" s="1"/>
  <c r="C28" i="20" s="1"/>
  <c r="O43" i="9"/>
  <c r="I42" i="13"/>
  <c r="I12" i="13"/>
  <c r="I45" i="13"/>
  <c r="I44" i="13"/>
  <c r="I43" i="13"/>
  <c r="K43" i="13"/>
  <c r="K44" i="13"/>
  <c r="K45" i="13"/>
  <c r="K12" i="13"/>
  <c r="K42" i="13"/>
  <c r="K40" i="13"/>
  <c r="E43" i="13"/>
  <c r="M43" i="13"/>
  <c r="O51" i="9"/>
  <c r="H11" i="13"/>
  <c r="E44" i="13"/>
  <c r="M42" i="13"/>
  <c r="O83" i="6"/>
  <c r="F44" i="13"/>
  <c r="F45" i="13" s="1"/>
  <c r="K37" i="13"/>
  <c r="H38" i="13"/>
  <c r="E42" i="13"/>
  <c r="M12" i="13"/>
  <c r="E31" i="9"/>
  <c r="G31" i="9"/>
  <c r="G5" i="10"/>
  <c r="O45" i="9"/>
  <c r="O42" i="9"/>
  <c r="I31" i="9"/>
  <c r="K31" i="9"/>
  <c r="J31" i="9"/>
  <c r="L31" i="9"/>
  <c r="C85" i="6"/>
  <c r="C109" i="6" s="1"/>
  <c r="C110" i="6" s="1"/>
  <c r="D108" i="6" s="1"/>
  <c r="O55" i="9"/>
  <c r="E21" i="10"/>
  <c r="H21" i="10"/>
  <c r="I21" i="10"/>
  <c r="J21" i="10"/>
  <c r="O56" i="9"/>
  <c r="O52" i="6"/>
  <c r="D34" i="20" s="1"/>
  <c r="C34" i="20" s="1"/>
  <c r="O48" i="6"/>
  <c r="D31" i="20" s="1"/>
  <c r="C31" i="20" s="1"/>
  <c r="O88" i="9"/>
  <c r="H31" i="9"/>
  <c r="G15" i="1"/>
  <c r="N31" i="9"/>
  <c r="O82" i="9"/>
  <c r="O54" i="9"/>
  <c r="C12" i="13"/>
  <c r="J42" i="13"/>
  <c r="J43" i="13"/>
  <c r="J12" i="13"/>
  <c r="O50" i="9"/>
  <c r="F12" i="13"/>
  <c r="O85" i="9"/>
  <c r="O89" i="6"/>
  <c r="F37" i="13"/>
  <c r="F38" i="13" s="1"/>
  <c r="H40" i="13"/>
  <c r="L11" i="13"/>
  <c r="O6" i="13"/>
  <c r="J40" i="13"/>
  <c r="O30" i="6"/>
  <c r="D22" i="20" s="1"/>
  <c r="C22" i="20" s="1"/>
  <c r="H39" i="13"/>
  <c r="L37" i="13"/>
  <c r="E45" i="13"/>
  <c r="O30" i="9"/>
  <c r="O54" i="6"/>
  <c r="D36" i="20" s="1"/>
  <c r="C36" i="20" s="1"/>
  <c r="O50" i="6"/>
  <c r="D32" i="20" s="1"/>
  <c r="C32" i="20" s="1"/>
  <c r="O57" i="6"/>
  <c r="D39" i="20" s="1"/>
  <c r="C39" i="20" s="1"/>
  <c r="O53" i="6"/>
  <c r="D35" i="20" s="1"/>
  <c r="C35" i="20" s="1"/>
  <c r="O56" i="6"/>
  <c r="D38" i="20" s="1"/>
  <c r="C38" i="20" s="1"/>
  <c r="O55" i="6"/>
  <c r="D37" i="20" s="1"/>
  <c r="C37" i="20" s="1"/>
  <c r="O49" i="9"/>
  <c r="O44" i="9"/>
  <c r="O44" i="6"/>
  <c r="D27" i="20" s="1"/>
  <c r="C27" i="20" s="1"/>
  <c r="O47" i="6"/>
  <c r="D30" i="20" s="1"/>
  <c r="C30" i="20" s="1"/>
  <c r="O43" i="6"/>
  <c r="D26" i="20" s="1"/>
  <c r="C26" i="20" s="1"/>
  <c r="O51" i="6"/>
  <c r="D33" i="20" s="1"/>
  <c r="C33" i="20" s="1"/>
  <c r="O46" i="6"/>
  <c r="D29" i="20" s="1"/>
  <c r="C29" i="20" s="1"/>
  <c r="O39" i="6"/>
  <c r="D25" i="20" s="1"/>
  <c r="C25" i="20" s="1"/>
  <c r="O38" i="9"/>
  <c r="O35" i="9"/>
  <c r="O35" i="6"/>
  <c r="D24" i="20" s="1"/>
  <c r="C24" i="20" s="1"/>
  <c r="O31" i="6"/>
  <c r="D23" i="20" s="1"/>
  <c r="C23" i="20" s="1"/>
  <c r="F31" i="9"/>
  <c r="E6" i="6"/>
  <c r="E5" i="21" s="1"/>
  <c r="C120" i="6"/>
  <c r="D118" i="6" s="1"/>
  <c r="D64" i="6" s="1"/>
  <c r="D21" i="10"/>
  <c r="F21" i="10"/>
  <c r="K21" i="10"/>
  <c r="C21" i="10"/>
  <c r="M21" i="10"/>
  <c r="L21" i="10"/>
  <c r="N21" i="10"/>
  <c r="V62" i="1"/>
  <c r="V76" i="1"/>
  <c r="F5" i="10"/>
  <c r="F9" i="10" s="1"/>
  <c r="C31" i="10" s="1"/>
  <c r="V40" i="1" s="1"/>
  <c r="D5" i="10"/>
  <c r="C5" i="10"/>
  <c r="E5" i="10"/>
  <c r="C84" i="6"/>
  <c r="D13" i="10"/>
  <c r="I13" i="10"/>
  <c r="C13" i="10"/>
  <c r="H13" i="10"/>
  <c r="F13" i="10"/>
  <c r="F17" i="10" s="1"/>
  <c r="G13" i="10"/>
  <c r="L13" i="10"/>
  <c r="J13" i="10"/>
  <c r="K13" i="10"/>
  <c r="E13" i="10"/>
  <c r="L5" i="10"/>
  <c r="N5" i="10"/>
  <c r="M5" i="10"/>
  <c r="K5" i="10"/>
  <c r="H5" i="10"/>
  <c r="J5" i="10"/>
  <c r="C43" i="10"/>
  <c r="V54" i="1"/>
  <c r="V68" i="1"/>
  <c r="V57" i="1"/>
  <c r="V71" i="1"/>
  <c r="V58" i="1"/>
  <c r="V72" i="1"/>
  <c r="V69" i="1"/>
  <c r="V55" i="1"/>
  <c r="V73" i="1"/>
  <c r="V59" i="1"/>
  <c r="V61" i="1"/>
  <c r="V75" i="1"/>
  <c r="V63" i="1"/>
  <c r="V77" i="1"/>
  <c r="V64" i="1"/>
  <c r="V78" i="1"/>
  <c r="V60" i="1"/>
  <c r="V74" i="1"/>
  <c r="V67" i="1"/>
  <c r="V53" i="1"/>
  <c r="V70" i="1"/>
  <c r="V56" i="1"/>
  <c r="T67" i="1"/>
  <c r="T69" i="1"/>
  <c r="T55" i="1"/>
  <c r="T77" i="1"/>
  <c r="T63" i="1"/>
  <c r="T54" i="1"/>
  <c r="T68" i="1"/>
  <c r="T58" i="1"/>
  <c r="T72" i="1"/>
  <c r="T62" i="1"/>
  <c r="T76" i="1"/>
  <c r="T57" i="1"/>
  <c r="T71" i="1"/>
  <c r="T61" i="1"/>
  <c r="T75" i="1"/>
  <c r="T73" i="1"/>
  <c r="T59" i="1"/>
  <c r="T56" i="1"/>
  <c r="T70" i="1"/>
  <c r="T74" i="1"/>
  <c r="T60" i="1"/>
  <c r="T64" i="1"/>
  <c r="T78" i="1"/>
  <c r="H23" i="10"/>
  <c r="K23" i="10"/>
  <c r="J23" i="10"/>
  <c r="C23" i="10"/>
  <c r="E23" i="10"/>
  <c r="D23" i="10"/>
  <c r="N23" i="10"/>
  <c r="F23" i="10"/>
  <c r="G23" i="10"/>
  <c r="G25" i="10" s="1"/>
  <c r="I23" i="10"/>
  <c r="L23" i="10"/>
  <c r="M23" i="10"/>
  <c r="N13" i="10"/>
  <c r="D15" i="10"/>
  <c r="I15" i="10"/>
  <c r="N15" i="10"/>
  <c r="K15" i="10"/>
  <c r="E15" i="10"/>
  <c r="J15" i="10"/>
  <c r="C15" i="10"/>
  <c r="H15" i="10"/>
  <c r="M15" i="10"/>
  <c r="M17" i="10" s="1"/>
  <c r="G15" i="10"/>
  <c r="L15" i="10"/>
  <c r="D7" i="10"/>
  <c r="I7" i="10"/>
  <c r="I9" i="10" s="1"/>
  <c r="E7" i="10"/>
  <c r="L7" i="10"/>
  <c r="C7" i="10"/>
  <c r="H7" i="10"/>
  <c r="N7" i="10"/>
  <c r="J7" i="10"/>
  <c r="K7" i="10"/>
  <c r="M7" i="10"/>
  <c r="G7" i="10"/>
  <c r="D116" i="6" l="1"/>
  <c r="E113" i="6" s="1"/>
  <c r="D44" i="13"/>
  <c r="D12" i="13"/>
  <c r="D43" i="13"/>
  <c r="D45" i="13"/>
  <c r="D42" i="13"/>
  <c r="L23" i="21"/>
  <c r="L22" i="21"/>
  <c r="L21" i="21"/>
  <c r="L20" i="21"/>
  <c r="L18" i="21"/>
  <c r="L17" i="21"/>
  <c r="L19" i="21"/>
  <c r="E26" i="21"/>
  <c r="E8" i="21"/>
  <c r="D19" i="6"/>
  <c r="E32" i="10"/>
  <c r="T41" i="1"/>
  <c r="G16" i="1"/>
  <c r="P73" i="1" s="1"/>
  <c r="I25" i="10"/>
  <c r="N42" i="13"/>
  <c r="N12" i="13"/>
  <c r="N44" i="13"/>
  <c r="N45" i="13"/>
  <c r="N43" i="13"/>
  <c r="D25" i="10"/>
  <c r="G9" i="10"/>
  <c r="C32" i="10" s="1"/>
  <c r="V41" i="1" s="1"/>
  <c r="E25" i="10"/>
  <c r="M25" i="10"/>
  <c r="H44" i="13"/>
  <c r="H42" i="13"/>
  <c r="H45" i="13"/>
  <c r="H12" i="13"/>
  <c r="H43" i="13"/>
  <c r="K25" i="10"/>
  <c r="H25" i="10"/>
  <c r="N6" i="1"/>
  <c r="C19" i="6"/>
  <c r="L25" i="10"/>
  <c r="N25" i="10"/>
  <c r="J25" i="10"/>
  <c r="O21" i="10"/>
  <c r="E17" i="10"/>
  <c r="X39" i="1" s="1"/>
  <c r="I17" i="10"/>
  <c r="D34" i="10" s="1"/>
  <c r="O31" i="9"/>
  <c r="O11" i="13"/>
  <c r="D65" i="6"/>
  <c r="L42" i="13"/>
  <c r="L44" i="13"/>
  <c r="L45" i="13"/>
  <c r="L12" i="13"/>
  <c r="L43" i="13"/>
  <c r="F25" i="10"/>
  <c r="D87" i="6"/>
  <c r="D119" i="6" s="1"/>
  <c r="D120" i="6" s="1"/>
  <c r="F6" i="6"/>
  <c r="D17" i="10"/>
  <c r="X38" i="1" s="1"/>
  <c r="K17" i="10"/>
  <c r="X45" i="1" s="1"/>
  <c r="E19" i="6"/>
  <c r="C15" i="6"/>
  <c r="D15" i="6"/>
  <c r="E15" i="6"/>
  <c r="J17" i="10"/>
  <c r="D35" i="10" s="1"/>
  <c r="D31" i="10"/>
  <c r="X40" i="1"/>
  <c r="N17" i="10"/>
  <c r="X48" i="1" s="1"/>
  <c r="D9" i="10"/>
  <c r="C29" i="10" s="1"/>
  <c r="V38" i="1" s="1"/>
  <c r="E116" i="6"/>
  <c r="F113" i="6" s="1"/>
  <c r="E63" i="6"/>
  <c r="C105" i="6"/>
  <c r="C106" i="6" s="1"/>
  <c r="H17" i="10"/>
  <c r="D33" i="10" s="1"/>
  <c r="L17" i="10"/>
  <c r="X46" i="1" s="1"/>
  <c r="G17" i="10"/>
  <c r="X41" i="1" s="1"/>
  <c r="O13" i="10"/>
  <c r="J9" i="10"/>
  <c r="C35" i="10" s="1"/>
  <c r="V44" i="1" s="1"/>
  <c r="N9" i="10"/>
  <c r="C39" i="10" s="1"/>
  <c r="V48" i="1" s="1"/>
  <c r="L9" i="10"/>
  <c r="C37" i="10" s="1"/>
  <c r="V46" i="1" s="1"/>
  <c r="C34" i="10"/>
  <c r="V43" i="1" s="1"/>
  <c r="H9" i="10"/>
  <c r="C33" i="10" s="1"/>
  <c r="V42" i="1" s="1"/>
  <c r="E9" i="10"/>
  <c r="C30" i="10" s="1"/>
  <c r="V39" i="1" s="1"/>
  <c r="M9" i="10"/>
  <c r="C38" i="10" s="1"/>
  <c r="V47" i="1" s="1"/>
  <c r="C9" i="10"/>
  <c r="C28" i="10" s="1"/>
  <c r="V37" i="1" s="1"/>
  <c r="O5" i="10"/>
  <c r="K9" i="10"/>
  <c r="C36" i="10" s="1"/>
  <c r="V45" i="1" s="1"/>
  <c r="E2" i="13"/>
  <c r="E144" i="6"/>
  <c r="E146" i="6" s="1"/>
  <c r="E10" i="21" s="1"/>
  <c r="E70" i="6"/>
  <c r="D70" i="6"/>
  <c r="D2" i="13"/>
  <c r="D144" i="6"/>
  <c r="D146" i="6" s="1"/>
  <c r="D10" i="21" s="1"/>
  <c r="D43" i="10"/>
  <c r="C2" i="13"/>
  <c r="C70" i="6"/>
  <c r="C146" i="6"/>
  <c r="C10" i="21" s="1"/>
  <c r="C25" i="10"/>
  <c r="T37" i="1" s="1"/>
  <c r="O23" i="10"/>
  <c r="X47" i="1"/>
  <c r="D38" i="10"/>
  <c r="O15" i="10"/>
  <c r="C17" i="10"/>
  <c r="O7" i="10"/>
  <c r="M23" i="21" l="1"/>
  <c r="M22" i="21"/>
  <c r="M21" i="21"/>
  <c r="M20" i="21"/>
  <c r="M18" i="21"/>
  <c r="M17" i="21"/>
  <c r="M19" i="21"/>
  <c r="F19" i="6"/>
  <c r="F5" i="21"/>
  <c r="E39" i="10"/>
  <c r="T48" i="1"/>
  <c r="E37" i="10"/>
  <c r="T46" i="1"/>
  <c r="E38" i="10"/>
  <c r="T47" i="1"/>
  <c r="E30" i="10"/>
  <c r="T39" i="1"/>
  <c r="E34" i="10"/>
  <c r="T43" i="1"/>
  <c r="E33" i="10"/>
  <c r="T42" i="1"/>
  <c r="E36" i="10"/>
  <c r="T45" i="1"/>
  <c r="E31" i="10"/>
  <c r="T40" i="1"/>
  <c r="F8" i="6" s="1"/>
  <c r="F8" i="9" s="1"/>
  <c r="E29" i="10"/>
  <c r="T38" i="1"/>
  <c r="E35" i="10"/>
  <c r="T44" i="1"/>
  <c r="V49" i="1"/>
  <c r="D30" i="10"/>
  <c r="X43" i="1"/>
  <c r="D29" i="10"/>
  <c r="D125" i="6"/>
  <c r="E125" i="6"/>
  <c r="C125" i="6"/>
  <c r="X44" i="1"/>
  <c r="E134" i="6" s="1"/>
  <c r="D36" i="10"/>
  <c r="D85" i="6"/>
  <c r="O12" i="13"/>
  <c r="G6" i="6"/>
  <c r="F125" i="6"/>
  <c r="F15" i="6"/>
  <c r="D37" i="10"/>
  <c r="D39" i="10"/>
  <c r="E87" i="6"/>
  <c r="E118" i="6"/>
  <c r="F63" i="6"/>
  <c r="F116" i="6"/>
  <c r="G113" i="6" s="1"/>
  <c r="D104" i="6"/>
  <c r="X42" i="1"/>
  <c r="D32" i="10"/>
  <c r="O9" i="10"/>
  <c r="C40" i="10" s="1"/>
  <c r="C67" i="13"/>
  <c r="C25" i="13"/>
  <c r="E43" i="10"/>
  <c r="E25" i="13"/>
  <c r="E67" i="13"/>
  <c r="D25" i="13"/>
  <c r="D67" i="13"/>
  <c r="O25" i="10"/>
  <c r="E40" i="10" s="1"/>
  <c r="E28" i="10"/>
  <c r="C8" i="6" s="1"/>
  <c r="D28" i="10"/>
  <c r="O17" i="10"/>
  <c r="D40" i="10" s="1"/>
  <c r="X37" i="1"/>
  <c r="N23" i="21" l="1"/>
  <c r="N22" i="21"/>
  <c r="N21" i="21"/>
  <c r="N20" i="21"/>
  <c r="N18" i="21"/>
  <c r="N17" i="21"/>
  <c r="N19" i="21"/>
  <c r="F26" i="21"/>
  <c r="F8" i="21"/>
  <c r="G134" i="6"/>
  <c r="G5" i="21"/>
  <c r="T49" i="1"/>
  <c r="E8" i="6"/>
  <c r="E8" i="9" s="1"/>
  <c r="D8" i="6"/>
  <c r="D8" i="9" s="1"/>
  <c r="F134" i="6"/>
  <c r="D134" i="6"/>
  <c r="D109" i="6"/>
  <c r="D110" i="6" s="1"/>
  <c r="C134" i="6"/>
  <c r="H6" i="6"/>
  <c r="H5" i="21" s="1"/>
  <c r="G125" i="6"/>
  <c r="G8" i="6"/>
  <c r="G8" i="9" s="1"/>
  <c r="G19" i="6"/>
  <c r="G15" i="6"/>
  <c r="E64" i="6"/>
  <c r="E119" i="6"/>
  <c r="E120" i="6" s="1"/>
  <c r="G63" i="6"/>
  <c r="G116" i="6"/>
  <c r="H113" i="6" s="1"/>
  <c r="D62" i="6"/>
  <c r="D84" i="6" s="1"/>
  <c r="D105" i="6" s="1"/>
  <c r="D106" i="6" s="1"/>
  <c r="F43" i="10"/>
  <c r="F70" i="6"/>
  <c r="F144" i="6"/>
  <c r="F146" i="6" s="1"/>
  <c r="F10" i="21" s="1"/>
  <c r="F2" i="13"/>
  <c r="X49" i="1"/>
  <c r="G26" i="21" l="1"/>
  <c r="G8" i="21"/>
  <c r="H26" i="21"/>
  <c r="H8" i="21"/>
  <c r="E108" i="6"/>
  <c r="I6" i="6"/>
  <c r="I5" i="21" s="1"/>
  <c r="H125" i="6"/>
  <c r="H19" i="6"/>
  <c r="H15" i="6"/>
  <c r="H8" i="6"/>
  <c r="H8" i="9" s="1"/>
  <c r="H134" i="6"/>
  <c r="F87" i="6"/>
  <c r="F118" i="6"/>
  <c r="H116" i="6"/>
  <c r="I113" i="6" s="1"/>
  <c r="H63" i="6"/>
  <c r="E104" i="6"/>
  <c r="F10" i="6"/>
  <c r="F32" i="6"/>
  <c r="F11" i="6"/>
  <c r="G43" i="10"/>
  <c r="G2" i="13"/>
  <c r="G70" i="6"/>
  <c r="G144" i="6"/>
  <c r="G146" i="6" s="1"/>
  <c r="G10" i="21" s="1"/>
  <c r="F25" i="13"/>
  <c r="F67" i="13"/>
  <c r="I26" i="21" l="1"/>
  <c r="I8" i="21"/>
  <c r="E65" i="6"/>
  <c r="J6" i="6"/>
  <c r="J5" i="21" s="1"/>
  <c r="I125" i="6"/>
  <c r="I15" i="6"/>
  <c r="I8" i="6"/>
  <c r="I8" i="9" s="1"/>
  <c r="I19" i="6"/>
  <c r="I134" i="6"/>
  <c r="F64" i="6"/>
  <c r="F119" i="6"/>
  <c r="F120" i="6" s="1"/>
  <c r="I116" i="6"/>
  <c r="J113" i="6" s="1"/>
  <c r="I63" i="6"/>
  <c r="E62" i="6"/>
  <c r="E84" i="6" s="1"/>
  <c r="E105" i="6" s="1"/>
  <c r="E106" i="6" s="1"/>
  <c r="G25" i="13"/>
  <c r="G67" i="13"/>
  <c r="H70" i="6"/>
  <c r="H144" i="6"/>
  <c r="H146" i="6" s="1"/>
  <c r="H10" i="21" s="1"/>
  <c r="H2" i="13"/>
  <c r="F11" i="9"/>
  <c r="F10" i="9"/>
  <c r="F32" i="9"/>
  <c r="H43" i="10"/>
  <c r="F18" i="6"/>
  <c r="F69" i="13"/>
  <c r="F70" i="13"/>
  <c r="F12" i="6"/>
  <c r="D11" i="6"/>
  <c r="D10" i="6"/>
  <c r="D32" i="6"/>
  <c r="F33" i="6"/>
  <c r="F34" i="6"/>
  <c r="J26" i="21" l="1"/>
  <c r="J8" i="21"/>
  <c r="E85" i="6"/>
  <c r="K6" i="6"/>
  <c r="K5" i="21" s="1"/>
  <c r="J125" i="6"/>
  <c r="J19" i="6"/>
  <c r="J15" i="6"/>
  <c r="J134" i="6"/>
  <c r="J8" i="6"/>
  <c r="J8" i="9" s="1"/>
  <c r="G118" i="6"/>
  <c r="G87" i="6"/>
  <c r="J63" i="6"/>
  <c r="J116" i="6"/>
  <c r="K113" i="6" s="1"/>
  <c r="F104" i="6"/>
  <c r="D70" i="13"/>
  <c r="D12" i="6"/>
  <c r="F34" i="9"/>
  <c r="F33" i="9"/>
  <c r="D33" i="6"/>
  <c r="D34" i="6"/>
  <c r="F71" i="13"/>
  <c r="I43" i="10"/>
  <c r="F18" i="9"/>
  <c r="F20" i="9"/>
  <c r="F126" i="9" s="1"/>
  <c r="H11" i="6"/>
  <c r="H10" i="6"/>
  <c r="H32" i="6"/>
  <c r="F36" i="6"/>
  <c r="D18" i="6"/>
  <c r="D69" i="13"/>
  <c r="I70" i="6"/>
  <c r="I144" i="6"/>
  <c r="I146" i="6" s="1"/>
  <c r="I10" i="21" s="1"/>
  <c r="I2" i="13"/>
  <c r="F12" i="9"/>
  <c r="H25" i="13"/>
  <c r="H67" i="13"/>
  <c r="D32" i="9"/>
  <c r="D10" i="9"/>
  <c r="D11" i="9"/>
  <c r="F17" i="6"/>
  <c r="F40" i="6"/>
  <c r="F42" i="6"/>
  <c r="F49" i="6"/>
  <c r="F41" i="6"/>
  <c r="F38" i="6"/>
  <c r="K26" i="21" l="1"/>
  <c r="K8" i="21"/>
  <c r="E109" i="6"/>
  <c r="E110" i="6" s="1"/>
  <c r="L6" i="6"/>
  <c r="L5" i="21" s="1"/>
  <c r="K125" i="6"/>
  <c r="K19" i="6"/>
  <c r="K15" i="6"/>
  <c r="K8" i="6"/>
  <c r="K8" i="9" s="1"/>
  <c r="K134" i="6"/>
  <c r="G119" i="6"/>
  <c r="G120" i="6" s="1"/>
  <c r="G64" i="6"/>
  <c r="K116" i="6"/>
  <c r="L113" i="6" s="1"/>
  <c r="K63" i="6"/>
  <c r="F62" i="6"/>
  <c r="F84" i="6" s="1"/>
  <c r="F105" i="6" s="1"/>
  <c r="F106" i="6" s="1"/>
  <c r="D71" i="13"/>
  <c r="D34" i="9"/>
  <c r="D33" i="9"/>
  <c r="I32" i="6"/>
  <c r="I10" i="6"/>
  <c r="I11" i="6"/>
  <c r="J43" i="10"/>
  <c r="I67" i="13"/>
  <c r="I25" i="13"/>
  <c r="J70" i="6"/>
  <c r="J2" i="13"/>
  <c r="J144" i="6"/>
  <c r="J146" i="6" s="1"/>
  <c r="J10" i="21" s="1"/>
  <c r="H11" i="9"/>
  <c r="H32" i="9"/>
  <c r="H10" i="9"/>
  <c r="D36" i="6"/>
  <c r="D79" i="13" s="1"/>
  <c r="D42" i="6"/>
  <c r="D49" i="6"/>
  <c r="D17" i="6"/>
  <c r="D41" i="6"/>
  <c r="D38" i="6"/>
  <c r="D40" i="6"/>
  <c r="D18" i="9"/>
  <c r="D20" i="9"/>
  <c r="D126" i="9" s="1"/>
  <c r="H33" i="6"/>
  <c r="H34" i="6"/>
  <c r="H18" i="6"/>
  <c r="H69" i="13"/>
  <c r="D12" i="9"/>
  <c r="F41" i="9"/>
  <c r="F39" i="9"/>
  <c r="F40" i="9"/>
  <c r="F37" i="9"/>
  <c r="F17" i="9"/>
  <c r="F48" i="9"/>
  <c r="F79" i="13"/>
  <c r="F59" i="6"/>
  <c r="F81" i="13" s="1"/>
  <c r="H70" i="13"/>
  <c r="H12" i="6"/>
  <c r="L26" i="21" l="1"/>
  <c r="L8" i="21"/>
  <c r="F108" i="6"/>
  <c r="M6" i="6"/>
  <c r="M5" i="21" s="1"/>
  <c r="L125" i="6"/>
  <c r="L19" i="6"/>
  <c r="L8" i="6"/>
  <c r="L8" i="9" s="1"/>
  <c r="L15" i="6"/>
  <c r="L134" i="6"/>
  <c r="H87" i="6"/>
  <c r="H118" i="6"/>
  <c r="L63" i="6"/>
  <c r="L116" i="6"/>
  <c r="M113" i="6" s="1"/>
  <c r="G104" i="6"/>
  <c r="E11" i="6"/>
  <c r="E32" i="6"/>
  <c r="E10" i="6"/>
  <c r="G10" i="6"/>
  <c r="G32" i="6"/>
  <c r="G11" i="6"/>
  <c r="H36" i="6"/>
  <c r="H79" i="13" s="1"/>
  <c r="H42" i="6"/>
  <c r="H41" i="6"/>
  <c r="H17" i="6"/>
  <c r="H40" i="6"/>
  <c r="H49" i="6"/>
  <c r="H38" i="6"/>
  <c r="K144" i="6"/>
  <c r="K146" i="6" s="1"/>
  <c r="K10" i="21" s="1"/>
  <c r="K70" i="6"/>
  <c r="K2" i="13"/>
  <c r="I11" i="9"/>
  <c r="I32" i="9"/>
  <c r="I10" i="9"/>
  <c r="D59" i="6"/>
  <c r="D81" i="13" s="1"/>
  <c r="H12" i="9"/>
  <c r="I69" i="13"/>
  <c r="I18" i="6"/>
  <c r="F58" i="9"/>
  <c r="D40" i="9"/>
  <c r="D39" i="9"/>
  <c r="D41" i="9"/>
  <c r="D17" i="9"/>
  <c r="D37" i="9"/>
  <c r="D48" i="9"/>
  <c r="H71" i="13"/>
  <c r="H34" i="9"/>
  <c r="H33" i="9"/>
  <c r="J25" i="13"/>
  <c r="J67" i="13"/>
  <c r="K43" i="10"/>
  <c r="I70" i="13"/>
  <c r="I12" i="6"/>
  <c r="H18" i="9"/>
  <c r="H20" i="9"/>
  <c r="H126" i="9" s="1"/>
  <c r="J10" i="6"/>
  <c r="J32" i="6"/>
  <c r="J11" i="6"/>
  <c r="I33" i="6"/>
  <c r="I34" i="6"/>
  <c r="M26" i="21" l="1"/>
  <c r="M8" i="21"/>
  <c r="F65" i="6"/>
  <c r="N6" i="6"/>
  <c r="N5" i="21" s="1"/>
  <c r="M125" i="6"/>
  <c r="M19" i="6"/>
  <c r="M15" i="6"/>
  <c r="M134" i="6"/>
  <c r="M8" i="6"/>
  <c r="M8" i="9" s="1"/>
  <c r="H64" i="6"/>
  <c r="H119" i="6"/>
  <c r="H120" i="6" s="1"/>
  <c r="M63" i="6"/>
  <c r="M116" i="6"/>
  <c r="N113" i="6" s="1"/>
  <c r="G62" i="6"/>
  <c r="G84" i="6" s="1"/>
  <c r="G105" i="6" s="1"/>
  <c r="G106" i="6" s="1"/>
  <c r="E12" i="6"/>
  <c r="E70" i="13"/>
  <c r="H59" i="6"/>
  <c r="H81" i="13" s="1"/>
  <c r="E34" i="6"/>
  <c r="E33" i="6"/>
  <c r="G12" i="6"/>
  <c r="G70" i="13"/>
  <c r="E11" i="9"/>
  <c r="E32" i="9"/>
  <c r="E10" i="9"/>
  <c r="G69" i="13"/>
  <c r="G18" i="6"/>
  <c r="G33" i="6"/>
  <c r="G34" i="6"/>
  <c r="G10" i="9"/>
  <c r="G11" i="9"/>
  <c r="G32" i="9"/>
  <c r="E69" i="13"/>
  <c r="E18" i="6"/>
  <c r="I36" i="6"/>
  <c r="I79" i="13" s="1"/>
  <c r="J34" i="6"/>
  <c r="J33" i="6"/>
  <c r="L43" i="10"/>
  <c r="D58" i="9"/>
  <c r="I34" i="9"/>
  <c r="I33" i="9"/>
  <c r="J12" i="6"/>
  <c r="J70" i="13"/>
  <c r="I42" i="6"/>
  <c r="I17" i="6"/>
  <c r="I38" i="6"/>
  <c r="I49" i="6"/>
  <c r="I40" i="6"/>
  <c r="I41" i="6"/>
  <c r="I18" i="9"/>
  <c r="I20" i="9"/>
  <c r="I126" i="9" s="1"/>
  <c r="K11" i="6"/>
  <c r="K10" i="6"/>
  <c r="K32" i="6"/>
  <c r="J69" i="13"/>
  <c r="J18" i="6"/>
  <c r="J32" i="9"/>
  <c r="J11" i="9"/>
  <c r="J10" i="9"/>
  <c r="L2" i="13"/>
  <c r="L144" i="6"/>
  <c r="L146" i="6" s="1"/>
  <c r="L10" i="21" s="1"/>
  <c r="L70" i="6"/>
  <c r="I71" i="13"/>
  <c r="K67" i="13"/>
  <c r="K25" i="13"/>
  <c r="H17" i="9"/>
  <c r="H37" i="9"/>
  <c r="H48" i="9"/>
  <c r="H39" i="9"/>
  <c r="H41" i="9"/>
  <c r="H40" i="9"/>
  <c r="I12" i="9"/>
  <c r="N26" i="21" l="1"/>
  <c r="N8" i="21"/>
  <c r="E71" i="13"/>
  <c r="J71" i="13"/>
  <c r="G71" i="13"/>
  <c r="F85" i="6"/>
  <c r="C6" i="9"/>
  <c r="N125" i="6"/>
  <c r="N8" i="6"/>
  <c r="N8" i="9" s="1"/>
  <c r="N19" i="6"/>
  <c r="N15" i="6"/>
  <c r="N134" i="6"/>
  <c r="I118" i="6"/>
  <c r="I87" i="6"/>
  <c r="I119" i="6" s="1"/>
  <c r="N116" i="6"/>
  <c r="N63" i="6"/>
  <c r="O63" i="6" s="1"/>
  <c r="H104" i="6"/>
  <c r="E36" i="6"/>
  <c r="E79" i="13" s="1"/>
  <c r="G36" i="6"/>
  <c r="G79" i="13" s="1"/>
  <c r="E12" i="9"/>
  <c r="E41" i="9" s="1"/>
  <c r="G18" i="9"/>
  <c r="G20" i="9"/>
  <c r="G126" i="9" s="1"/>
  <c r="E34" i="9"/>
  <c r="E33" i="9"/>
  <c r="G34" i="9"/>
  <c r="G33" i="9"/>
  <c r="G41" i="6"/>
  <c r="G17" i="6"/>
  <c r="G40" i="6"/>
  <c r="G38" i="6"/>
  <c r="G42" i="6"/>
  <c r="G49" i="6"/>
  <c r="G12" i="9"/>
  <c r="E20" i="9"/>
  <c r="E126" i="9" s="1"/>
  <c r="E18" i="9"/>
  <c r="E41" i="6"/>
  <c r="E42" i="6"/>
  <c r="E40" i="6"/>
  <c r="E38" i="6"/>
  <c r="E49" i="6"/>
  <c r="E17" i="6"/>
  <c r="J36" i="6"/>
  <c r="J79" i="13" s="1"/>
  <c r="E20" i="6"/>
  <c r="H58" i="9"/>
  <c r="J34" i="9"/>
  <c r="J33" i="9"/>
  <c r="M70" i="6"/>
  <c r="M144" i="6"/>
  <c r="M146" i="6" s="1"/>
  <c r="M10" i="21" s="1"/>
  <c r="M2" i="13"/>
  <c r="M43" i="10"/>
  <c r="N43" i="10"/>
  <c r="L67" i="13"/>
  <c r="L25" i="13"/>
  <c r="K34" i="6"/>
  <c r="K33" i="6"/>
  <c r="K69" i="13"/>
  <c r="K18" i="6"/>
  <c r="I39" i="9"/>
  <c r="I40" i="9"/>
  <c r="I17" i="9"/>
  <c r="I37" i="9"/>
  <c r="I48" i="9"/>
  <c r="I41" i="9"/>
  <c r="J12" i="9"/>
  <c r="K12" i="6"/>
  <c r="K70" i="13"/>
  <c r="I59" i="6"/>
  <c r="I81" i="13" s="1"/>
  <c r="J17" i="6"/>
  <c r="J42" i="6"/>
  <c r="J49" i="6"/>
  <c r="J41" i="6"/>
  <c r="J40" i="6"/>
  <c r="J38" i="6"/>
  <c r="L11" i="6"/>
  <c r="L32" i="6"/>
  <c r="L10" i="6"/>
  <c r="J20" i="9"/>
  <c r="J126" i="9" s="1"/>
  <c r="J18" i="9"/>
  <c r="K10" i="9"/>
  <c r="K11" i="9"/>
  <c r="K32" i="9"/>
  <c r="F109" i="6" l="1"/>
  <c r="F110" i="6" s="1"/>
  <c r="D6" i="9"/>
  <c r="C15" i="9"/>
  <c r="C19" i="9"/>
  <c r="E39" i="9"/>
  <c r="I64" i="6"/>
  <c r="I120" i="6"/>
  <c r="C111" i="9"/>
  <c r="O116" i="6"/>
  <c r="H62" i="6"/>
  <c r="H84" i="6" s="1"/>
  <c r="H105" i="6" s="1"/>
  <c r="H106" i="6" s="1"/>
  <c r="E17" i="9"/>
  <c r="E48" i="9"/>
  <c r="E40" i="9"/>
  <c r="E37" i="9"/>
  <c r="E59" i="6"/>
  <c r="E81" i="13" s="1"/>
  <c r="G59" i="6"/>
  <c r="G81" i="13" s="1"/>
  <c r="G17" i="9"/>
  <c r="G39" i="9"/>
  <c r="G37" i="9"/>
  <c r="G41" i="9"/>
  <c r="G40" i="9"/>
  <c r="G48" i="9"/>
  <c r="K20" i="6"/>
  <c r="K73" i="13" s="1"/>
  <c r="I16" i="6"/>
  <c r="I137" i="6" s="1"/>
  <c r="K16" i="6"/>
  <c r="K137" i="6" s="1"/>
  <c r="E128" i="6"/>
  <c r="E73" i="13"/>
  <c r="G16" i="6"/>
  <c r="H16" i="6"/>
  <c r="J16" i="6"/>
  <c r="E16" i="6"/>
  <c r="F20" i="6"/>
  <c r="I20" i="6"/>
  <c r="D16" i="6"/>
  <c r="G20" i="6"/>
  <c r="J20" i="6"/>
  <c r="H20" i="6"/>
  <c r="F16" i="6"/>
  <c r="D20" i="6"/>
  <c r="L16" i="6"/>
  <c r="L20" i="6"/>
  <c r="K71" i="13"/>
  <c r="I58" i="9"/>
  <c r="K12" i="9"/>
  <c r="M10" i="6"/>
  <c r="M32" i="6"/>
  <c r="M11" i="6"/>
  <c r="N2" i="13"/>
  <c r="N144" i="6"/>
  <c r="N146" i="6" s="1"/>
  <c r="N70" i="6"/>
  <c r="K18" i="9"/>
  <c r="K20" i="9"/>
  <c r="K126" i="9" s="1"/>
  <c r="L33" i="6"/>
  <c r="L34" i="6"/>
  <c r="K41" i="6"/>
  <c r="K17" i="6"/>
  <c r="K38" i="6"/>
  <c r="K49" i="6"/>
  <c r="K42" i="6"/>
  <c r="K40" i="6"/>
  <c r="L12" i="6"/>
  <c r="L70" i="13"/>
  <c r="L18" i="6"/>
  <c r="L69" i="13"/>
  <c r="L11" i="9"/>
  <c r="L32" i="9"/>
  <c r="L10" i="9"/>
  <c r="C10" i="6"/>
  <c r="C32" i="6"/>
  <c r="C11" i="6"/>
  <c r="O8" i="6"/>
  <c r="C8" i="9"/>
  <c r="J48" i="9"/>
  <c r="J39" i="9"/>
  <c r="J37" i="9"/>
  <c r="J41" i="9"/>
  <c r="J17" i="9"/>
  <c r="J40" i="9"/>
  <c r="K34" i="9"/>
  <c r="K33" i="9"/>
  <c r="J59" i="6"/>
  <c r="J81" i="13" s="1"/>
  <c r="K36" i="6"/>
  <c r="M25" i="13"/>
  <c r="M67" i="13"/>
  <c r="O146" i="6" l="1"/>
  <c r="M147" i="6" s="1"/>
  <c r="M11" i="21" s="1"/>
  <c r="N10" i="21"/>
  <c r="G108" i="6"/>
  <c r="E58" i="9"/>
  <c r="E6" i="9"/>
  <c r="D15" i="9"/>
  <c r="D19" i="9"/>
  <c r="J118" i="6"/>
  <c r="J87" i="6"/>
  <c r="J119" i="6" s="1"/>
  <c r="C114" i="9"/>
  <c r="D111" i="9" s="1"/>
  <c r="C62" i="9"/>
  <c r="I104" i="6"/>
  <c r="C147" i="6"/>
  <c r="K22" i="6"/>
  <c r="K77" i="6" s="1"/>
  <c r="K128" i="6"/>
  <c r="L36" i="6"/>
  <c r="L79" i="13" s="1"/>
  <c r="I74" i="13"/>
  <c r="I22" i="6"/>
  <c r="I24" i="6" s="1"/>
  <c r="G58" i="9"/>
  <c r="K74" i="13"/>
  <c r="K76" i="13" s="1"/>
  <c r="K77" i="13" s="1"/>
  <c r="J73" i="13"/>
  <c r="J128" i="6"/>
  <c r="F73" i="13"/>
  <c r="F128" i="6"/>
  <c r="G74" i="13"/>
  <c r="G137" i="6"/>
  <c r="G22" i="6"/>
  <c r="I73" i="13"/>
  <c r="I128" i="6"/>
  <c r="D73" i="13"/>
  <c r="D128" i="6"/>
  <c r="G73" i="13"/>
  <c r="G128" i="6"/>
  <c r="E74" i="13"/>
  <c r="E76" i="13" s="1"/>
  <c r="E77" i="13" s="1"/>
  <c r="E137" i="6"/>
  <c r="E22" i="6"/>
  <c r="H73" i="13"/>
  <c r="H128" i="6"/>
  <c r="H74" i="13"/>
  <c r="H137" i="6"/>
  <c r="H22" i="6"/>
  <c r="F137" i="6"/>
  <c r="F74" i="13"/>
  <c r="F22" i="6"/>
  <c r="D137" i="6"/>
  <c r="D74" i="13"/>
  <c r="D22" i="6"/>
  <c r="J74" i="13"/>
  <c r="J137" i="6"/>
  <c r="J22" i="6"/>
  <c r="F147" i="6"/>
  <c r="F11" i="21" s="1"/>
  <c r="G147" i="6"/>
  <c r="G11" i="21" s="1"/>
  <c r="D147" i="6"/>
  <c r="D11" i="21" s="1"/>
  <c r="E147" i="6"/>
  <c r="E11" i="21" s="1"/>
  <c r="H147" i="6"/>
  <c r="H11" i="21" s="1"/>
  <c r="I147" i="6"/>
  <c r="I11" i="21" s="1"/>
  <c r="J147" i="6"/>
  <c r="J11" i="21" s="1"/>
  <c r="K147" i="6"/>
  <c r="K11" i="21" s="1"/>
  <c r="L147" i="6"/>
  <c r="L11" i="21" s="1"/>
  <c r="J58" i="9"/>
  <c r="L71" i="13"/>
  <c r="L128" i="6"/>
  <c r="L73" i="13"/>
  <c r="M18" i="6"/>
  <c r="M20" i="6"/>
  <c r="M69" i="13"/>
  <c r="C20" i="6"/>
  <c r="C18" i="6"/>
  <c r="C69" i="13"/>
  <c r="L12" i="9"/>
  <c r="L17" i="6"/>
  <c r="L22" i="6" s="1"/>
  <c r="L77" i="6" s="1"/>
  <c r="L41" i="6"/>
  <c r="L40" i="6"/>
  <c r="L38" i="6"/>
  <c r="L49" i="6"/>
  <c r="L42" i="6"/>
  <c r="C69" i="9"/>
  <c r="C139" i="9"/>
  <c r="C141" i="9" s="1"/>
  <c r="C123" i="9"/>
  <c r="C130" i="9"/>
  <c r="M34" i="6"/>
  <c r="M33" i="6"/>
  <c r="K48" i="9"/>
  <c r="K41" i="9"/>
  <c r="K39" i="9"/>
  <c r="K37" i="9"/>
  <c r="K40" i="9"/>
  <c r="K17" i="9"/>
  <c r="C34" i="6"/>
  <c r="C33" i="6"/>
  <c r="L33" i="9"/>
  <c r="L34" i="9"/>
  <c r="N11" i="6"/>
  <c r="O11" i="6" s="1"/>
  <c r="N10" i="6"/>
  <c r="O10" i="6" s="1"/>
  <c r="N32" i="6"/>
  <c r="O32" i="6" s="1"/>
  <c r="N147" i="6"/>
  <c r="N11" i="21" s="1"/>
  <c r="N25" i="13"/>
  <c r="N67" i="13"/>
  <c r="M10" i="9"/>
  <c r="M32" i="9"/>
  <c r="M11" i="9"/>
  <c r="C70" i="13"/>
  <c r="C12" i="6"/>
  <c r="C16" i="6"/>
  <c r="L74" i="13"/>
  <c r="L137" i="6"/>
  <c r="K79" i="13"/>
  <c r="K59" i="6"/>
  <c r="K81" i="13" s="1"/>
  <c r="C32" i="9"/>
  <c r="C11" i="9"/>
  <c r="O8" i="9"/>
  <c r="C10" i="9"/>
  <c r="L18" i="9"/>
  <c r="L20" i="9"/>
  <c r="L126" i="9" s="1"/>
  <c r="M12" i="6"/>
  <c r="M16" i="6"/>
  <c r="M70" i="13"/>
  <c r="M148" i="6" l="1"/>
  <c r="M12" i="21" s="1"/>
  <c r="M14" i="21" s="1"/>
  <c r="C11" i="21"/>
  <c r="C148" i="6"/>
  <c r="C12" i="21" s="1"/>
  <c r="C14" i="21" s="1"/>
  <c r="N148" i="6"/>
  <c r="N12" i="21" s="1"/>
  <c r="E148" i="6"/>
  <c r="E12" i="21" s="1"/>
  <c r="E14" i="21" s="1"/>
  <c r="D148" i="6"/>
  <c r="D12" i="21" s="1"/>
  <c r="D14" i="21" s="1"/>
  <c r="H148" i="6"/>
  <c r="H12" i="21" s="1"/>
  <c r="G148" i="6"/>
  <c r="G12" i="21" s="1"/>
  <c r="G14" i="21" s="1"/>
  <c r="L148" i="6"/>
  <c r="L12" i="21" s="1"/>
  <c r="F148" i="6"/>
  <c r="F12" i="21" s="1"/>
  <c r="F14" i="21" s="1"/>
  <c r="I148" i="6"/>
  <c r="I12" i="21" s="1"/>
  <c r="K148" i="6"/>
  <c r="K12" i="21" s="1"/>
  <c r="J148" i="6"/>
  <c r="J12" i="21" s="1"/>
  <c r="C33" i="13"/>
  <c r="C34" i="13" s="1"/>
  <c r="C31" i="13"/>
  <c r="C32" i="13" s="1"/>
  <c r="C28" i="13"/>
  <c r="C29" i="13" s="1"/>
  <c r="C26" i="13"/>
  <c r="C27" i="13" s="1"/>
  <c r="G65" i="6"/>
  <c r="G85" i="6" s="1"/>
  <c r="F6" i="9"/>
  <c r="E19" i="9"/>
  <c r="E15" i="9"/>
  <c r="O147" i="6"/>
  <c r="K24" i="6"/>
  <c r="K61" i="6" s="1"/>
  <c r="J120" i="6"/>
  <c r="J64" i="6"/>
  <c r="D114" i="9"/>
  <c r="E111" i="9" s="1"/>
  <c r="D62" i="9"/>
  <c r="I62" i="6"/>
  <c r="I84" i="6" s="1"/>
  <c r="I105" i="6" s="1"/>
  <c r="I106" i="6" s="1"/>
  <c r="J76" i="13"/>
  <c r="J77" i="13" s="1"/>
  <c r="G76" i="13"/>
  <c r="G77" i="13" s="1"/>
  <c r="I76" i="13"/>
  <c r="I77" i="13" s="1"/>
  <c r="F76" i="13"/>
  <c r="F77" i="13" s="1"/>
  <c r="D76" i="13"/>
  <c r="D77" i="13" s="1"/>
  <c r="I77" i="6"/>
  <c r="H76" i="13"/>
  <c r="H77" i="13" s="1"/>
  <c r="I61" i="6"/>
  <c r="I25" i="6"/>
  <c r="G77" i="6"/>
  <c r="G24" i="6"/>
  <c r="J77" i="6"/>
  <c r="J24" i="6"/>
  <c r="F24" i="6"/>
  <c r="F77" i="6"/>
  <c r="E77" i="6"/>
  <c r="E24" i="6"/>
  <c r="H77" i="6"/>
  <c r="H24" i="6"/>
  <c r="D77" i="6"/>
  <c r="D24" i="6"/>
  <c r="M36" i="6"/>
  <c r="M79" i="13" s="1"/>
  <c r="L59" i="6"/>
  <c r="L81" i="13" s="1"/>
  <c r="C36" i="6"/>
  <c r="C79" i="13" s="1"/>
  <c r="N69" i="13"/>
  <c r="O69" i="13" s="1"/>
  <c r="O26" i="13" s="1"/>
  <c r="O27" i="13" s="1"/>
  <c r="N20" i="6"/>
  <c r="O20" i="6" s="1"/>
  <c r="N18" i="6"/>
  <c r="O18" i="6" s="1"/>
  <c r="D13" i="20" s="1"/>
  <c r="C13" i="20" s="1"/>
  <c r="M128" i="6"/>
  <c r="M73" i="13"/>
  <c r="C20" i="9"/>
  <c r="C18" i="9"/>
  <c r="M74" i="13"/>
  <c r="M137" i="6"/>
  <c r="N10" i="9"/>
  <c r="O10" i="9" s="1"/>
  <c r="N32" i="9"/>
  <c r="O32" i="9" s="1"/>
  <c r="N11" i="9"/>
  <c r="O11" i="9" s="1"/>
  <c r="D139" i="9"/>
  <c r="D141" i="9" s="1"/>
  <c r="D69" i="9"/>
  <c r="D123" i="9"/>
  <c r="D16" i="9"/>
  <c r="D130" i="9"/>
  <c r="L39" i="9"/>
  <c r="L40" i="9"/>
  <c r="L48" i="9"/>
  <c r="L17" i="9"/>
  <c r="L37" i="9"/>
  <c r="L41" i="9"/>
  <c r="C128" i="6"/>
  <c r="C73" i="13"/>
  <c r="C49" i="6"/>
  <c r="C17" i="6"/>
  <c r="C22" i="6" s="1"/>
  <c r="C24" i="6" s="1"/>
  <c r="C42" i="6"/>
  <c r="C38" i="6"/>
  <c r="C41" i="6"/>
  <c r="C40" i="6"/>
  <c r="M38" i="6"/>
  <c r="M49" i="6"/>
  <c r="M17" i="6"/>
  <c r="M22" i="6" s="1"/>
  <c r="M77" i="6" s="1"/>
  <c r="M40" i="6"/>
  <c r="M42" i="6"/>
  <c r="M41" i="6"/>
  <c r="C16" i="9"/>
  <c r="C12" i="9"/>
  <c r="N33" i="6"/>
  <c r="O33" i="6" s="1"/>
  <c r="D16" i="20" s="1"/>
  <c r="C16" i="20" s="1"/>
  <c r="N34" i="6"/>
  <c r="O34" i="6" s="1"/>
  <c r="D17" i="20" s="1"/>
  <c r="C17" i="20" s="1"/>
  <c r="D12" i="20"/>
  <c r="C12" i="20" s="1"/>
  <c r="K58" i="9"/>
  <c r="L24" i="6"/>
  <c r="L76" i="13"/>
  <c r="L77" i="13" s="1"/>
  <c r="M33" i="9"/>
  <c r="M34" i="9"/>
  <c r="C33" i="9"/>
  <c r="C34" i="9"/>
  <c r="M12" i="9"/>
  <c r="C74" i="13"/>
  <c r="C137" i="6"/>
  <c r="M20" i="9"/>
  <c r="M126" i="9" s="1"/>
  <c r="M18" i="9"/>
  <c r="N70" i="13"/>
  <c r="O70" i="13" s="1"/>
  <c r="O31" i="13" s="1"/>
  <c r="O32" i="13" s="1"/>
  <c r="N12" i="6"/>
  <c r="O12" i="6" s="1"/>
  <c r="N16" i="6"/>
  <c r="O16" i="6" s="1"/>
  <c r="C71" i="13"/>
  <c r="M71" i="13"/>
  <c r="F30" i="21" l="1"/>
  <c r="F31" i="21"/>
  <c r="F29" i="21"/>
  <c r="F28" i="21"/>
  <c r="F33" i="21"/>
  <c r="F32" i="21"/>
  <c r="F34" i="21"/>
  <c r="E33" i="21"/>
  <c r="E28" i="21"/>
  <c r="E32" i="21"/>
  <c r="E30" i="21"/>
  <c r="E31" i="21"/>
  <c r="E34" i="21"/>
  <c r="E29" i="21"/>
  <c r="C28" i="21"/>
  <c r="C29" i="21"/>
  <c r="C33" i="21"/>
  <c r="C31" i="21"/>
  <c r="C32" i="21"/>
  <c r="C34" i="21"/>
  <c r="C30" i="21"/>
  <c r="D33" i="21"/>
  <c r="D28" i="21"/>
  <c r="D32" i="21"/>
  <c r="D29" i="21"/>
  <c r="D30" i="21"/>
  <c r="D31" i="21"/>
  <c r="D34" i="21"/>
  <c r="G34" i="21"/>
  <c r="G33" i="21"/>
  <c r="G28" i="21"/>
  <c r="G32" i="21"/>
  <c r="G30" i="21"/>
  <c r="G31" i="21"/>
  <c r="G29" i="21"/>
  <c r="M30" i="21"/>
  <c r="M31" i="21"/>
  <c r="M29" i="21"/>
  <c r="M28" i="21"/>
  <c r="M34" i="21"/>
  <c r="M33" i="21"/>
  <c r="M32" i="21"/>
  <c r="I14" i="21"/>
  <c r="J14" i="21"/>
  <c r="L14" i="21"/>
  <c r="N14" i="21"/>
  <c r="K14" i="21"/>
  <c r="H14" i="21"/>
  <c r="C39" i="13"/>
  <c r="C40" i="13" s="1"/>
  <c r="C37" i="13"/>
  <c r="C38" i="13" s="1"/>
  <c r="O148" i="6"/>
  <c r="G109" i="6"/>
  <c r="G110" i="6" s="1"/>
  <c r="G6" i="9"/>
  <c r="F19" i="9"/>
  <c r="F15" i="9"/>
  <c r="K25" i="6"/>
  <c r="K87" i="6"/>
  <c r="K119" i="6" s="1"/>
  <c r="K118" i="6"/>
  <c r="E62" i="9"/>
  <c r="E114" i="9"/>
  <c r="F111" i="9" s="1"/>
  <c r="J104" i="6"/>
  <c r="M24" i="6"/>
  <c r="M25" i="6" s="1"/>
  <c r="C76" i="13"/>
  <c r="H61" i="6"/>
  <c r="H25" i="6"/>
  <c r="F61" i="6"/>
  <c r="F67" i="6" s="1"/>
  <c r="F74" i="6" s="1"/>
  <c r="F25" i="6"/>
  <c r="D25" i="6"/>
  <c r="D61" i="6"/>
  <c r="D67" i="6" s="1"/>
  <c r="D74" i="6" s="1"/>
  <c r="E25" i="6"/>
  <c r="E61" i="6"/>
  <c r="E67" i="6" s="1"/>
  <c r="E74" i="6" s="1"/>
  <c r="J25" i="6"/>
  <c r="J61" i="6"/>
  <c r="G61" i="6"/>
  <c r="G67" i="6" s="1"/>
  <c r="G74" i="6" s="1"/>
  <c r="G25" i="6"/>
  <c r="P18" i="6"/>
  <c r="B13" i="20" s="1"/>
  <c r="P10" i="6"/>
  <c r="O71" i="13"/>
  <c r="O37" i="13" s="1"/>
  <c r="O38" i="13" s="1"/>
  <c r="C59" i="6"/>
  <c r="C61" i="6" s="1"/>
  <c r="P11" i="6"/>
  <c r="M59" i="6"/>
  <c r="M81" i="13" s="1"/>
  <c r="L58" i="9"/>
  <c r="M76" i="13"/>
  <c r="M77" i="13" s="1"/>
  <c r="P32" i="6"/>
  <c r="B12" i="20" s="1"/>
  <c r="C25" i="6"/>
  <c r="N40" i="6"/>
  <c r="O40" i="6" s="1"/>
  <c r="N41" i="6"/>
  <c r="O41" i="6" s="1"/>
  <c r="N49" i="6"/>
  <c r="O49" i="6" s="1"/>
  <c r="N38" i="6"/>
  <c r="O38" i="6" s="1"/>
  <c r="N17" i="6"/>
  <c r="N22" i="6" s="1"/>
  <c r="N77" i="6" s="1"/>
  <c r="N42" i="6"/>
  <c r="O42" i="6" s="1"/>
  <c r="P42" i="6" s="1"/>
  <c r="B138" i="6"/>
  <c r="Q40" i="1"/>
  <c r="D8" i="20"/>
  <c r="P16" i="6"/>
  <c r="B8" i="20" s="1"/>
  <c r="P20" i="6"/>
  <c r="B9" i="20" s="1"/>
  <c r="D9" i="20"/>
  <c r="C9" i="20" s="1"/>
  <c r="Q38" i="1"/>
  <c r="B129" i="6"/>
  <c r="P33" i="6"/>
  <c r="B16" i="20" s="1"/>
  <c r="N34" i="9"/>
  <c r="O34" i="9" s="1"/>
  <c r="N33" i="9"/>
  <c r="O33" i="9" s="1"/>
  <c r="P34" i="6"/>
  <c r="B17" i="20" s="1"/>
  <c r="N71" i="13"/>
  <c r="M48" i="9"/>
  <c r="M39" i="9"/>
  <c r="M41" i="9"/>
  <c r="M37" i="9"/>
  <c r="M17" i="9"/>
  <c r="M40" i="9"/>
  <c r="C133" i="9"/>
  <c r="N12" i="9"/>
  <c r="O12" i="9" s="1"/>
  <c r="N36" i="6"/>
  <c r="O36" i="6" s="1"/>
  <c r="P36" i="6" s="1"/>
  <c r="P56" i="6"/>
  <c r="P46" i="6"/>
  <c r="P30" i="6"/>
  <c r="P44" i="6"/>
  <c r="P43" i="6"/>
  <c r="P47" i="6"/>
  <c r="P39" i="6"/>
  <c r="P57" i="6"/>
  <c r="P50" i="6"/>
  <c r="P55" i="6"/>
  <c r="P54" i="6"/>
  <c r="P53" i="6"/>
  <c r="P35" i="6"/>
  <c r="P51" i="6"/>
  <c r="P12" i="6"/>
  <c r="P63" i="6"/>
  <c r="P52" i="6"/>
  <c r="P31" i="6"/>
  <c r="P48" i="6"/>
  <c r="P45" i="6"/>
  <c r="D133" i="9"/>
  <c r="D22" i="9"/>
  <c r="E69" i="9"/>
  <c r="E139" i="9"/>
  <c r="E141" i="9" s="1"/>
  <c r="E123" i="9"/>
  <c r="E16" i="9"/>
  <c r="E130" i="9"/>
  <c r="C126" i="9"/>
  <c r="C77" i="6"/>
  <c r="N74" i="13"/>
  <c r="O74" i="13" s="1"/>
  <c r="N137" i="6"/>
  <c r="L61" i="6"/>
  <c r="L25" i="6"/>
  <c r="C39" i="9"/>
  <c r="C48" i="9"/>
  <c r="C41" i="9"/>
  <c r="C40" i="9"/>
  <c r="C37" i="9"/>
  <c r="C17" i="9"/>
  <c r="C22" i="9" s="1"/>
  <c r="N20" i="9"/>
  <c r="N126" i="9" s="1"/>
  <c r="N18" i="9"/>
  <c r="O18" i="9" s="1"/>
  <c r="N128" i="6"/>
  <c r="N73" i="13"/>
  <c r="O73" i="13" s="1"/>
  <c r="H30" i="21" l="1"/>
  <c r="H31" i="21"/>
  <c r="H34" i="21"/>
  <c r="H29" i="21"/>
  <c r="H33" i="21"/>
  <c r="H28" i="21"/>
  <c r="H32" i="21"/>
  <c r="K30" i="21"/>
  <c r="K31" i="21"/>
  <c r="K32" i="21"/>
  <c r="K33" i="21"/>
  <c r="K34" i="21"/>
  <c r="K29" i="21"/>
  <c r="K28" i="21"/>
  <c r="N32" i="21"/>
  <c r="N28" i="21"/>
  <c r="N34" i="21"/>
  <c r="N30" i="21"/>
  <c r="N29" i="21"/>
  <c r="N31" i="21"/>
  <c r="N33" i="21"/>
  <c r="L30" i="21"/>
  <c r="L31" i="21"/>
  <c r="L33" i="21"/>
  <c r="L32" i="21"/>
  <c r="L34" i="21"/>
  <c r="L29" i="21"/>
  <c r="L28" i="21"/>
  <c r="J30" i="21"/>
  <c r="J31" i="21"/>
  <c r="J34" i="21"/>
  <c r="J29" i="21"/>
  <c r="J33" i="21"/>
  <c r="J28" i="21"/>
  <c r="J32" i="21"/>
  <c r="I30" i="21"/>
  <c r="I31" i="21"/>
  <c r="I34" i="21"/>
  <c r="I29" i="21"/>
  <c r="I33" i="21"/>
  <c r="I28" i="21"/>
  <c r="I32" i="21"/>
  <c r="C77" i="13"/>
  <c r="C44" i="13"/>
  <c r="C45" i="13" s="1"/>
  <c r="C42" i="13"/>
  <c r="C43" i="13" s="1"/>
  <c r="H108" i="6"/>
  <c r="H6" i="9"/>
  <c r="G19" i="9"/>
  <c r="G15" i="9"/>
  <c r="K64" i="6"/>
  <c r="K120" i="6"/>
  <c r="F114" i="9"/>
  <c r="G111" i="9" s="1"/>
  <c r="F62" i="9"/>
  <c r="J62" i="6"/>
  <c r="O22" i="6"/>
  <c r="P22" i="6" s="1"/>
  <c r="O17" i="6"/>
  <c r="P17" i="6" s="1"/>
  <c r="B15" i="20" s="1"/>
  <c r="T20" i="9"/>
  <c r="AB20" i="9"/>
  <c r="AC20" i="9"/>
  <c r="C81" i="13"/>
  <c r="M61" i="6"/>
  <c r="D10" i="20"/>
  <c r="C10" i="20" s="1"/>
  <c r="P38" i="6"/>
  <c r="B10" i="20" s="1"/>
  <c r="D18" i="20"/>
  <c r="C18" i="20" s="1"/>
  <c r="P49" i="6"/>
  <c r="B18" i="20" s="1"/>
  <c r="D14" i="20"/>
  <c r="C14" i="20" s="1"/>
  <c r="P41" i="6"/>
  <c r="B14" i="20" s="1"/>
  <c r="D11" i="20"/>
  <c r="C11" i="20" s="1"/>
  <c r="P40" i="6"/>
  <c r="B11" i="20" s="1"/>
  <c r="AA20" i="9"/>
  <c r="O20" i="9"/>
  <c r="P52" i="1" s="1"/>
  <c r="AD20" i="9"/>
  <c r="Y20" i="9"/>
  <c r="P33" i="9"/>
  <c r="AE20" i="9"/>
  <c r="V20" i="9"/>
  <c r="U20" i="9"/>
  <c r="W20" i="9"/>
  <c r="C58" i="9"/>
  <c r="Z20" i="9"/>
  <c r="X20" i="9"/>
  <c r="S20" i="9"/>
  <c r="AF20" i="9"/>
  <c r="O76" i="13"/>
  <c r="M58" i="9"/>
  <c r="N24" i="6"/>
  <c r="O24" i="6" s="1"/>
  <c r="O25" i="6" s="1"/>
  <c r="E133" i="9"/>
  <c r="E22" i="9"/>
  <c r="P32" i="9"/>
  <c r="P54" i="9"/>
  <c r="P31" i="9"/>
  <c r="P52" i="9"/>
  <c r="P42" i="9"/>
  <c r="P38" i="9"/>
  <c r="P12" i="9"/>
  <c r="P30" i="9"/>
  <c r="P49" i="9"/>
  <c r="P46" i="9"/>
  <c r="P56" i="9"/>
  <c r="P50" i="9"/>
  <c r="P35" i="9"/>
  <c r="P47" i="9"/>
  <c r="P44" i="9"/>
  <c r="P43" i="9"/>
  <c r="P55" i="9"/>
  <c r="P51" i="9"/>
  <c r="P45" i="9"/>
  <c r="P53" i="9"/>
  <c r="O77" i="6"/>
  <c r="D76" i="9"/>
  <c r="D24" i="9"/>
  <c r="P18" i="9"/>
  <c r="C8" i="20"/>
  <c r="F69" i="9"/>
  <c r="F139" i="9"/>
  <c r="F141" i="9" s="1"/>
  <c r="F16" i="9"/>
  <c r="F130" i="9"/>
  <c r="F123" i="9"/>
  <c r="C24" i="9"/>
  <c r="C76" i="9"/>
  <c r="N17" i="9"/>
  <c r="O17" i="9" s="1"/>
  <c r="P17" i="9" s="1"/>
  <c r="N37" i="9"/>
  <c r="N40" i="9"/>
  <c r="O40" i="9" s="1"/>
  <c r="P40" i="9" s="1"/>
  <c r="N41" i="9"/>
  <c r="O41" i="9" s="1"/>
  <c r="P41" i="9" s="1"/>
  <c r="N48" i="9"/>
  <c r="O48" i="9" s="1"/>
  <c r="P48" i="9" s="1"/>
  <c r="N39" i="9"/>
  <c r="O39" i="9" s="1"/>
  <c r="P39" i="9" s="1"/>
  <c r="N76" i="13"/>
  <c r="N77" i="13" s="1"/>
  <c r="P34" i="9"/>
  <c r="C67" i="6"/>
  <c r="N79" i="13"/>
  <c r="O79" i="13" s="1"/>
  <c r="N59" i="6"/>
  <c r="O77" i="13" l="1"/>
  <c r="O42" i="13"/>
  <c r="O43" i="13" s="1"/>
  <c r="H65" i="6"/>
  <c r="J84" i="6"/>
  <c r="J105" i="6" s="1"/>
  <c r="J106" i="6" s="1"/>
  <c r="K104" i="6" s="1"/>
  <c r="I6" i="9"/>
  <c r="H19" i="9"/>
  <c r="H15" i="9"/>
  <c r="B19" i="20"/>
  <c r="D15" i="20"/>
  <c r="L118" i="6"/>
  <c r="L87" i="6"/>
  <c r="L119" i="6" s="1"/>
  <c r="G62" i="9"/>
  <c r="G114" i="9"/>
  <c r="H111" i="9" s="1"/>
  <c r="B127" i="9"/>
  <c r="C127" i="9" s="1"/>
  <c r="C77" i="9" s="1"/>
  <c r="P24" i="6"/>
  <c r="N61" i="6"/>
  <c r="O61" i="6" s="1"/>
  <c r="P61" i="6" s="1"/>
  <c r="M129" i="6"/>
  <c r="M78" i="6" s="1"/>
  <c r="G129" i="6"/>
  <c r="G78" i="6" s="1"/>
  <c r="E129" i="6"/>
  <c r="E78" i="6" s="1"/>
  <c r="N25" i="6"/>
  <c r="N58" i="9"/>
  <c r="O58" i="9" s="1"/>
  <c r="P58" i="9" s="1"/>
  <c r="P20" i="9"/>
  <c r="O37" i="9"/>
  <c r="P37" i="9" s="1"/>
  <c r="N81" i="13"/>
  <c r="O81" i="13" s="1"/>
  <c r="O59" i="6"/>
  <c r="P59" i="6" s="1"/>
  <c r="D129" i="6"/>
  <c r="D78" i="6" s="1"/>
  <c r="C129" i="6"/>
  <c r="C78" i="6" s="1"/>
  <c r="N129" i="6"/>
  <c r="N78" i="6" s="1"/>
  <c r="F129" i="6"/>
  <c r="F78" i="6" s="1"/>
  <c r="K129" i="6"/>
  <c r="K78" i="6" s="1"/>
  <c r="J129" i="6"/>
  <c r="J78" i="6" s="1"/>
  <c r="L129" i="6"/>
  <c r="L78" i="6" s="1"/>
  <c r="H129" i="6"/>
  <c r="H78" i="6" s="1"/>
  <c r="I129" i="6"/>
  <c r="I78" i="6" s="1"/>
  <c r="C74" i="6"/>
  <c r="C25" i="9"/>
  <c r="C60" i="9"/>
  <c r="F133" i="9"/>
  <c r="F22" i="9"/>
  <c r="D60" i="9"/>
  <c r="D25" i="9"/>
  <c r="E76" i="9"/>
  <c r="E24" i="9"/>
  <c r="G69" i="9"/>
  <c r="G139" i="9"/>
  <c r="G141" i="9" s="1"/>
  <c r="G123" i="9"/>
  <c r="G16" i="9"/>
  <c r="G130" i="9"/>
  <c r="H19" i="20" l="1"/>
  <c r="H27" i="20" s="1"/>
  <c r="H67" i="6"/>
  <c r="H74" i="6" s="1"/>
  <c r="H85" i="6"/>
  <c r="H109" i="6" s="1"/>
  <c r="H110" i="6" s="1"/>
  <c r="J6" i="9"/>
  <c r="I19" i="9"/>
  <c r="I15" i="9"/>
  <c r="C15" i="20"/>
  <c r="C19" i="20" s="1"/>
  <c r="D19" i="20"/>
  <c r="G127" i="9"/>
  <c r="G77" i="9" s="1"/>
  <c r="E127" i="9"/>
  <c r="E77" i="9" s="1"/>
  <c r="F127" i="9"/>
  <c r="F77" i="9" s="1"/>
  <c r="D127" i="9"/>
  <c r="D77" i="9" s="1"/>
  <c r="L64" i="6"/>
  <c r="L120" i="6"/>
  <c r="H62" i="9"/>
  <c r="H114" i="9"/>
  <c r="I111" i="9" s="1"/>
  <c r="K62" i="6"/>
  <c r="C130" i="6"/>
  <c r="C84" i="13" s="1"/>
  <c r="O78" i="6"/>
  <c r="E25" i="9"/>
  <c r="E60" i="9"/>
  <c r="H139" i="9"/>
  <c r="H141" i="9" s="1"/>
  <c r="H69" i="9"/>
  <c r="H16" i="9"/>
  <c r="H123" i="9"/>
  <c r="H127" i="9" s="1"/>
  <c r="H77" i="9" s="1"/>
  <c r="H130" i="9"/>
  <c r="G22" i="9"/>
  <c r="G133" i="9"/>
  <c r="F76" i="9"/>
  <c r="F24" i="9"/>
  <c r="I108" i="6" l="1"/>
  <c r="K84" i="6"/>
  <c r="K105" i="6" s="1"/>
  <c r="K106" i="6" s="1"/>
  <c r="L104" i="6" s="1"/>
  <c r="K6" i="9"/>
  <c r="J15" i="9"/>
  <c r="J19" i="9"/>
  <c r="M87" i="6"/>
  <c r="M119" i="6" s="1"/>
  <c r="M118" i="6"/>
  <c r="I62" i="9"/>
  <c r="I114" i="9"/>
  <c r="J111" i="9" s="1"/>
  <c r="D127" i="6"/>
  <c r="D130" i="6" s="1"/>
  <c r="D84" i="13" s="1"/>
  <c r="G76" i="9"/>
  <c r="G24" i="9"/>
  <c r="H133" i="9"/>
  <c r="H22" i="9"/>
  <c r="F25" i="9"/>
  <c r="F60" i="9"/>
  <c r="I69" i="9"/>
  <c r="I139" i="9"/>
  <c r="I141" i="9" s="1"/>
  <c r="I123" i="9"/>
  <c r="I127" i="9" s="1"/>
  <c r="I77" i="9" s="1"/>
  <c r="I16" i="9"/>
  <c r="I130" i="9"/>
  <c r="I65" i="6" l="1"/>
  <c r="L6" i="9"/>
  <c r="K19" i="9"/>
  <c r="K15" i="9"/>
  <c r="M120" i="6"/>
  <c r="M64" i="6"/>
  <c r="J62" i="9"/>
  <c r="J114" i="9"/>
  <c r="K111" i="9" s="1"/>
  <c r="L62" i="6"/>
  <c r="E127" i="6"/>
  <c r="E130" i="6" s="1"/>
  <c r="F127" i="6" s="1"/>
  <c r="F130" i="6" s="1"/>
  <c r="J139" i="9"/>
  <c r="J141" i="9" s="1"/>
  <c r="J69" i="9"/>
  <c r="J16" i="9"/>
  <c r="J123" i="9"/>
  <c r="J127" i="9" s="1"/>
  <c r="J77" i="9" s="1"/>
  <c r="J130" i="9"/>
  <c r="H76" i="9"/>
  <c r="H24" i="9"/>
  <c r="I133" i="9"/>
  <c r="I22" i="9"/>
  <c r="G60" i="9"/>
  <c r="G25" i="9"/>
  <c r="I67" i="6" l="1"/>
  <c r="I74" i="6" s="1"/>
  <c r="I85" i="6"/>
  <c r="I109" i="6" s="1"/>
  <c r="I110" i="6" s="1"/>
  <c r="L84" i="6"/>
  <c r="L105" i="6" s="1"/>
  <c r="L106" i="6" s="1"/>
  <c r="M104" i="6" s="1"/>
  <c r="M6" i="9"/>
  <c r="L15" i="9"/>
  <c r="L19" i="9"/>
  <c r="N87" i="6"/>
  <c r="N118" i="6"/>
  <c r="K62" i="9"/>
  <c r="K114" i="9"/>
  <c r="L111" i="9" s="1"/>
  <c r="E84" i="13"/>
  <c r="I76" i="9"/>
  <c r="I24" i="9"/>
  <c r="J133" i="9"/>
  <c r="J22" i="9"/>
  <c r="K69" i="9"/>
  <c r="K139" i="9"/>
  <c r="K141" i="9" s="1"/>
  <c r="K16" i="9"/>
  <c r="K123" i="9"/>
  <c r="K127" i="9" s="1"/>
  <c r="K77" i="9" s="1"/>
  <c r="K130" i="9"/>
  <c r="F84" i="13"/>
  <c r="G127" i="6"/>
  <c r="G130" i="6" s="1"/>
  <c r="H60" i="9"/>
  <c r="H25" i="9"/>
  <c r="J108" i="6" l="1"/>
  <c r="N6" i="9"/>
  <c r="M15" i="9"/>
  <c r="M19" i="9"/>
  <c r="N64" i="6"/>
  <c r="O64" i="6" s="1"/>
  <c r="P64" i="6" s="1"/>
  <c r="N119" i="6"/>
  <c r="N120" i="6" s="1"/>
  <c r="O87" i="6"/>
  <c r="L114" i="9"/>
  <c r="M111" i="9" s="1"/>
  <c r="L62" i="9"/>
  <c r="M62" i="6"/>
  <c r="J76" i="9"/>
  <c r="J24" i="9"/>
  <c r="I60" i="9"/>
  <c r="I25" i="9"/>
  <c r="L69" i="9"/>
  <c r="L139" i="9"/>
  <c r="L141" i="9" s="1"/>
  <c r="L16" i="9"/>
  <c r="L123" i="9"/>
  <c r="L127" i="9" s="1"/>
  <c r="L77" i="9" s="1"/>
  <c r="L130" i="9"/>
  <c r="G84" i="13"/>
  <c r="H127" i="6"/>
  <c r="H130" i="6" s="1"/>
  <c r="K22" i="9"/>
  <c r="K133" i="9"/>
  <c r="J65" i="6" l="1"/>
  <c r="M84" i="6"/>
  <c r="M105" i="6" s="1"/>
  <c r="M106" i="6" s="1"/>
  <c r="N104" i="6" s="1"/>
  <c r="N15" i="9"/>
  <c r="N19" i="9"/>
  <c r="O120" i="6"/>
  <c r="C116" i="9"/>
  <c r="M114" i="9"/>
  <c r="N111" i="9" s="1"/>
  <c r="M62" i="9"/>
  <c r="L133" i="9"/>
  <c r="L22" i="9"/>
  <c r="J25" i="9"/>
  <c r="J60" i="9"/>
  <c r="K76" i="9"/>
  <c r="K24" i="9"/>
  <c r="I127" i="6"/>
  <c r="I130" i="6" s="1"/>
  <c r="H84" i="13"/>
  <c r="M69" i="9"/>
  <c r="M139" i="9"/>
  <c r="M141" i="9" s="1"/>
  <c r="M123" i="9"/>
  <c r="M127" i="9" s="1"/>
  <c r="M77" i="9" s="1"/>
  <c r="M16" i="9"/>
  <c r="M130" i="9"/>
  <c r="J67" i="6" l="1"/>
  <c r="J74" i="6" s="1"/>
  <c r="J85" i="6"/>
  <c r="J109" i="6" s="1"/>
  <c r="J110" i="6" s="1"/>
  <c r="C86" i="9"/>
  <c r="C63" i="9"/>
  <c r="N114" i="9"/>
  <c r="O114" i="9" s="1"/>
  <c r="N62" i="9"/>
  <c r="O62" i="9" s="1"/>
  <c r="P62" i="9" s="1"/>
  <c r="N62" i="6"/>
  <c r="N84" i="6" s="1"/>
  <c r="N105" i="6" s="1"/>
  <c r="N106" i="6" s="1"/>
  <c r="J127" i="6"/>
  <c r="J130" i="6" s="1"/>
  <c r="I84" i="13"/>
  <c r="M133" i="9"/>
  <c r="M22" i="9"/>
  <c r="N69" i="9"/>
  <c r="N139" i="9"/>
  <c r="N141" i="9" s="1"/>
  <c r="N16" i="9"/>
  <c r="N123" i="9"/>
  <c r="N127" i="9" s="1"/>
  <c r="N77" i="9" s="1"/>
  <c r="O77" i="9" s="1"/>
  <c r="N130" i="9"/>
  <c r="K60" i="9"/>
  <c r="K25" i="9"/>
  <c r="L76" i="9"/>
  <c r="L24" i="9"/>
  <c r="K108" i="6" l="1"/>
  <c r="O84" i="6"/>
  <c r="C117" i="9"/>
  <c r="C118" i="9" s="1"/>
  <c r="O62" i="6"/>
  <c r="O106" i="6"/>
  <c r="C103" i="9"/>
  <c r="T16" i="9"/>
  <c r="X16" i="9"/>
  <c r="U16" i="9"/>
  <c r="S16" i="9"/>
  <c r="Y16" i="9"/>
  <c r="O16" i="9"/>
  <c r="V16" i="9"/>
  <c r="W16" i="9"/>
  <c r="O141" i="9"/>
  <c r="N22" i="9"/>
  <c r="O22" i="9" s="1"/>
  <c r="P22" i="9" s="1"/>
  <c r="N133" i="9"/>
  <c r="M76" i="9"/>
  <c r="M24" i="9"/>
  <c r="L25" i="9"/>
  <c r="L60" i="9"/>
  <c r="J84" i="13"/>
  <c r="K127" i="6"/>
  <c r="K130" i="6" s="1"/>
  <c r="K65" i="6" l="1"/>
  <c r="D116" i="9"/>
  <c r="D86" i="9"/>
  <c r="P62" i="6"/>
  <c r="C61" i="9"/>
  <c r="C83" i="9" s="1"/>
  <c r="P16" i="9"/>
  <c r="B134" i="9"/>
  <c r="P54" i="1"/>
  <c r="K142" i="9"/>
  <c r="K143" i="9" s="1"/>
  <c r="J142" i="9"/>
  <c r="J143" i="9" s="1"/>
  <c r="C142" i="9"/>
  <c r="E142" i="9"/>
  <c r="E143" i="9" s="1"/>
  <c r="G142" i="9"/>
  <c r="G143" i="9" s="1"/>
  <c r="L142" i="9"/>
  <c r="L143" i="9" s="1"/>
  <c r="D142" i="9"/>
  <c r="D143" i="9" s="1"/>
  <c r="H142" i="9"/>
  <c r="H143" i="9" s="1"/>
  <c r="F142" i="9"/>
  <c r="F143" i="9" s="1"/>
  <c r="I142" i="9"/>
  <c r="I143" i="9" s="1"/>
  <c r="N142" i="9"/>
  <c r="N143" i="9" s="1"/>
  <c r="M142" i="9"/>
  <c r="M143" i="9" s="1"/>
  <c r="M60" i="9"/>
  <c r="M25" i="9"/>
  <c r="K84" i="13"/>
  <c r="L127" i="6"/>
  <c r="L130" i="6" s="1"/>
  <c r="N76" i="9"/>
  <c r="N24" i="9"/>
  <c r="O24" i="9" s="1"/>
  <c r="K67" i="6" l="1"/>
  <c r="K85" i="6"/>
  <c r="K109" i="6" s="1"/>
  <c r="K110" i="6" s="1"/>
  <c r="D117" i="9"/>
  <c r="D118" i="9" s="1"/>
  <c r="D63" i="9"/>
  <c r="C104" i="9"/>
  <c r="C105" i="9" s="1"/>
  <c r="O25" i="9"/>
  <c r="P24" i="9"/>
  <c r="O76" i="9"/>
  <c r="D138" i="6"/>
  <c r="D79" i="6" s="1"/>
  <c r="D80" i="6" s="1"/>
  <c r="D95" i="6" s="1"/>
  <c r="L138" i="6"/>
  <c r="L79" i="6" s="1"/>
  <c r="L80" i="6" s="1"/>
  <c r="E138" i="6"/>
  <c r="E79" i="6" s="1"/>
  <c r="E80" i="6" s="1"/>
  <c r="E95" i="6" s="1"/>
  <c r="I138" i="6"/>
  <c r="I79" i="6" s="1"/>
  <c r="I80" i="6" s="1"/>
  <c r="I95" i="6" s="1"/>
  <c r="K138" i="6"/>
  <c r="K79" i="6" s="1"/>
  <c r="K80" i="6" s="1"/>
  <c r="H138" i="6"/>
  <c r="H79" i="6" s="1"/>
  <c r="H80" i="6" s="1"/>
  <c r="H95" i="6" s="1"/>
  <c r="G138" i="6"/>
  <c r="G79" i="6" s="1"/>
  <c r="G80" i="6" s="1"/>
  <c r="G95" i="6" s="1"/>
  <c r="F138" i="6"/>
  <c r="F79" i="6" s="1"/>
  <c r="F80" i="6" s="1"/>
  <c r="F95" i="6" s="1"/>
  <c r="J138" i="6"/>
  <c r="J79" i="6" s="1"/>
  <c r="J80" i="6" s="1"/>
  <c r="J95" i="6" s="1"/>
  <c r="C138" i="6"/>
  <c r="M138" i="6"/>
  <c r="M79" i="6" s="1"/>
  <c r="M80" i="6" s="1"/>
  <c r="N138" i="6"/>
  <c r="N79" i="6" s="1"/>
  <c r="N80" i="6" s="1"/>
  <c r="E134" i="9"/>
  <c r="E78" i="9" s="1"/>
  <c r="E79" i="9" s="1"/>
  <c r="C134" i="9"/>
  <c r="C78" i="9" s="1"/>
  <c r="D134" i="9"/>
  <c r="D78" i="9" s="1"/>
  <c r="D79" i="9" s="1"/>
  <c r="F134" i="9"/>
  <c r="F78" i="9" s="1"/>
  <c r="F79" i="9" s="1"/>
  <c r="G134" i="9"/>
  <c r="G78" i="9" s="1"/>
  <c r="G79" i="9" s="1"/>
  <c r="H134" i="9"/>
  <c r="H78" i="9" s="1"/>
  <c r="H79" i="9" s="1"/>
  <c r="I134" i="9"/>
  <c r="I78" i="9" s="1"/>
  <c r="I79" i="9" s="1"/>
  <c r="J134" i="9"/>
  <c r="J78" i="9" s="1"/>
  <c r="J79" i="9" s="1"/>
  <c r="K134" i="9"/>
  <c r="K78" i="9" s="1"/>
  <c r="K79" i="9" s="1"/>
  <c r="L134" i="9"/>
  <c r="L78" i="9" s="1"/>
  <c r="L79" i="9" s="1"/>
  <c r="M134" i="9"/>
  <c r="M78" i="9" s="1"/>
  <c r="M79" i="9" s="1"/>
  <c r="N134" i="9"/>
  <c r="N78" i="9" s="1"/>
  <c r="N79" i="9" s="1"/>
  <c r="O142" i="9"/>
  <c r="C143" i="9"/>
  <c r="O143" i="9" s="1"/>
  <c r="N25" i="9"/>
  <c r="N60" i="9"/>
  <c r="L84" i="13"/>
  <c r="M127" i="6"/>
  <c r="M130" i="6" s="1"/>
  <c r="K74" i="6" l="1"/>
  <c r="K95" i="6" s="1"/>
  <c r="L108" i="6"/>
  <c r="O78" i="9"/>
  <c r="C79" i="9"/>
  <c r="O79" i="9" s="1"/>
  <c r="E86" i="9"/>
  <c r="E116" i="9"/>
  <c r="D103" i="9"/>
  <c r="O60" i="9"/>
  <c r="P60" i="9" s="1"/>
  <c r="C79" i="6"/>
  <c r="C139" i="6"/>
  <c r="N127" i="6"/>
  <c r="N130" i="6" s="1"/>
  <c r="M84" i="13"/>
  <c r="L65" i="6" l="1"/>
  <c r="O79" i="6"/>
  <c r="C80" i="6"/>
  <c r="E63" i="9"/>
  <c r="E117" i="9"/>
  <c r="E118" i="9" s="1"/>
  <c r="D61" i="9"/>
  <c r="D83" i="9" s="1"/>
  <c r="D104" i="9" s="1"/>
  <c r="D105" i="9" s="1"/>
  <c r="D136" i="6"/>
  <c r="D139" i="6" s="1"/>
  <c r="C85" i="13"/>
  <c r="C125" i="9"/>
  <c r="C128" i="9" s="1"/>
  <c r="D125" i="9" s="1"/>
  <c r="D128" i="9" s="1"/>
  <c r="E125" i="9" s="1"/>
  <c r="E128" i="9" s="1"/>
  <c r="F125" i="9" s="1"/>
  <c r="F128" i="9" s="1"/>
  <c r="G125" i="9" s="1"/>
  <c r="G128" i="9" s="1"/>
  <c r="H125" i="9" s="1"/>
  <c r="H128" i="9" s="1"/>
  <c r="I125" i="9" s="1"/>
  <c r="I128" i="9" s="1"/>
  <c r="J125" i="9" s="1"/>
  <c r="J128" i="9" s="1"/>
  <c r="K125" i="9" s="1"/>
  <c r="K128" i="9" s="1"/>
  <c r="L125" i="9" s="1"/>
  <c r="L128" i="9" s="1"/>
  <c r="M125" i="9" s="1"/>
  <c r="M128" i="9" s="1"/>
  <c r="N125" i="9" s="1"/>
  <c r="N128" i="9" s="1"/>
  <c r="O128" i="9" s="1"/>
  <c r="N84" i="13"/>
  <c r="O130" i="6"/>
  <c r="L67" i="6" l="1"/>
  <c r="L85" i="6"/>
  <c r="L109" i="6" s="1"/>
  <c r="L110" i="6" s="1"/>
  <c r="O80" i="6"/>
  <c r="C95" i="6"/>
  <c r="F86" i="9"/>
  <c r="F116" i="9"/>
  <c r="E103" i="9"/>
  <c r="D85" i="13"/>
  <c r="E136" i="6"/>
  <c r="E139" i="6" s="1"/>
  <c r="L74" i="6" l="1"/>
  <c r="L95" i="6" s="1"/>
  <c r="M108" i="6"/>
  <c r="C97" i="6"/>
  <c r="F63" i="9"/>
  <c r="F117" i="9"/>
  <c r="F118" i="9" s="1"/>
  <c r="E61" i="9"/>
  <c r="E83" i="9" s="1"/>
  <c r="E104" i="9" s="1"/>
  <c r="E105" i="9" s="1"/>
  <c r="F136" i="6"/>
  <c r="F139" i="6" s="1"/>
  <c r="E85" i="13"/>
  <c r="M65" i="6" l="1"/>
  <c r="C87" i="13"/>
  <c r="D72" i="6"/>
  <c r="D97" i="6" s="1"/>
  <c r="G86" i="9"/>
  <c r="G116" i="9"/>
  <c r="F103" i="9"/>
  <c r="F85" i="13"/>
  <c r="G136" i="6"/>
  <c r="G139" i="6" s="1"/>
  <c r="M67" i="6" l="1"/>
  <c r="M85" i="6"/>
  <c r="M109" i="6" s="1"/>
  <c r="M110" i="6" s="1"/>
  <c r="E72" i="6"/>
  <c r="E97" i="6" s="1"/>
  <c r="D87" i="13"/>
  <c r="G63" i="9"/>
  <c r="G117" i="9"/>
  <c r="G118" i="9" s="1"/>
  <c r="F61" i="9"/>
  <c r="F83" i="9" s="1"/>
  <c r="F104" i="9" s="1"/>
  <c r="F105" i="9" s="1"/>
  <c r="H136" i="6"/>
  <c r="H139" i="6" s="1"/>
  <c r="G85" i="13"/>
  <c r="M74" i="6" l="1"/>
  <c r="M95" i="6" s="1"/>
  <c r="N108" i="6"/>
  <c r="F72" i="6"/>
  <c r="F97" i="6" s="1"/>
  <c r="E87" i="13"/>
  <c r="H86" i="9"/>
  <c r="H117" i="9" s="1"/>
  <c r="H116" i="9"/>
  <c r="G103" i="9"/>
  <c r="H85" i="13"/>
  <c r="I136" i="6"/>
  <c r="I139" i="6" s="1"/>
  <c r="N65" i="6" l="1"/>
  <c r="G72" i="6"/>
  <c r="G97" i="6" s="1"/>
  <c r="F87" i="13"/>
  <c r="H118" i="9"/>
  <c r="H63" i="9"/>
  <c r="G61" i="9"/>
  <c r="G83" i="9" s="1"/>
  <c r="G104" i="9" s="1"/>
  <c r="G105" i="9" s="1"/>
  <c r="J136" i="6"/>
  <c r="J139" i="6" s="1"/>
  <c r="I85" i="13"/>
  <c r="O65" i="6" l="1"/>
  <c r="N67" i="6"/>
  <c r="N85" i="6"/>
  <c r="H72" i="6"/>
  <c r="H97" i="6" s="1"/>
  <c r="G87" i="13"/>
  <c r="I116" i="9"/>
  <c r="I86" i="9"/>
  <c r="I117" i="9" s="1"/>
  <c r="H103" i="9"/>
  <c r="J85" i="13"/>
  <c r="K136" i="6"/>
  <c r="K139" i="6" s="1"/>
  <c r="N74" i="6" l="1"/>
  <c r="O74" i="6" s="1"/>
  <c r="O67" i="6"/>
  <c r="P67" i="6" s="1"/>
  <c r="N109" i="6"/>
  <c r="N110" i="6" s="1"/>
  <c r="O85" i="6"/>
  <c r="P65" i="6"/>
  <c r="D44" i="20"/>
  <c r="I72" i="6"/>
  <c r="I97" i="6" s="1"/>
  <c r="H87" i="13"/>
  <c r="I118" i="9"/>
  <c r="I63" i="9"/>
  <c r="H61" i="9"/>
  <c r="H83" i="9" s="1"/>
  <c r="H104" i="9" s="1"/>
  <c r="H105" i="9" s="1"/>
  <c r="L136" i="6"/>
  <c r="L139" i="6" s="1"/>
  <c r="K85" i="13"/>
  <c r="N95" i="6" l="1"/>
  <c r="O95" i="6" s="1"/>
  <c r="O97" i="6" s="1"/>
  <c r="C44" i="20"/>
  <c r="C45" i="20" s="1"/>
  <c r="D45" i="20"/>
  <c r="C107" i="9"/>
  <c r="O110" i="6"/>
  <c r="I87" i="13"/>
  <c r="J72" i="6"/>
  <c r="J97" i="6" s="1"/>
  <c r="J116" i="9"/>
  <c r="J86" i="9"/>
  <c r="J117" i="9" s="1"/>
  <c r="I103" i="9"/>
  <c r="M136" i="6"/>
  <c r="M139" i="6" s="1"/>
  <c r="L85" i="13"/>
  <c r="H12" i="20" l="1"/>
  <c r="B44" i="20" s="1"/>
  <c r="C64" i="9"/>
  <c r="C84" i="9" s="1"/>
  <c r="K72" i="6"/>
  <c r="K97" i="6" s="1"/>
  <c r="J87" i="13"/>
  <c r="J63" i="9"/>
  <c r="J118" i="9"/>
  <c r="I61" i="9"/>
  <c r="M85" i="13"/>
  <c r="N136" i="6"/>
  <c r="N139" i="6" s="1"/>
  <c r="B31" i="20" l="1"/>
  <c r="B25" i="20"/>
  <c r="B43" i="20"/>
  <c r="B34" i="20"/>
  <c r="B23" i="20"/>
  <c r="B42" i="20"/>
  <c r="B40" i="20"/>
  <c r="B24" i="20"/>
  <c r="H9" i="20"/>
  <c r="B32" i="20"/>
  <c r="B36" i="20"/>
  <c r="B30" i="20"/>
  <c r="B27" i="20"/>
  <c r="B35" i="20"/>
  <c r="B33" i="20"/>
  <c r="B38" i="20"/>
  <c r="B28" i="20"/>
  <c r="H6" i="20"/>
  <c r="H3" i="20" s="1"/>
  <c r="B39" i="20"/>
  <c r="B22" i="20"/>
  <c r="B29" i="20"/>
  <c r="B26" i="20"/>
  <c r="B41" i="20"/>
  <c r="B37" i="20"/>
  <c r="C108" i="9"/>
  <c r="C109" i="9" s="1"/>
  <c r="C66" i="9"/>
  <c r="C73" i="9" s="1"/>
  <c r="C94" i="9" s="1"/>
  <c r="I83" i="9"/>
  <c r="I104" i="9" s="1"/>
  <c r="I105" i="9" s="1"/>
  <c r="J103" i="9" s="1"/>
  <c r="K87" i="13"/>
  <c r="L72" i="6"/>
  <c r="L97" i="6" s="1"/>
  <c r="K116" i="9"/>
  <c r="K86" i="9"/>
  <c r="K117" i="9" s="1"/>
  <c r="O139" i="6"/>
  <c r="C132" i="9"/>
  <c r="C135" i="9" s="1"/>
  <c r="D132" i="9" s="1"/>
  <c r="D135" i="9" s="1"/>
  <c r="E132" i="9" s="1"/>
  <c r="E135" i="9" s="1"/>
  <c r="F132" i="9" s="1"/>
  <c r="F135" i="9" s="1"/>
  <c r="G132" i="9" s="1"/>
  <c r="G135" i="9" s="1"/>
  <c r="H132" i="9" s="1"/>
  <c r="H135" i="9" s="1"/>
  <c r="I132" i="9" s="1"/>
  <c r="I135" i="9" s="1"/>
  <c r="J132" i="9" s="1"/>
  <c r="J135" i="9" s="1"/>
  <c r="K132" i="9" s="1"/>
  <c r="K135" i="9" s="1"/>
  <c r="L132" i="9" s="1"/>
  <c r="L135" i="9" s="1"/>
  <c r="M132" i="9" s="1"/>
  <c r="M135" i="9" s="1"/>
  <c r="N132" i="9" s="1"/>
  <c r="N135" i="9" s="1"/>
  <c r="O135" i="9" s="1"/>
  <c r="N85" i="13"/>
  <c r="D107" i="9" l="1"/>
  <c r="M72" i="6"/>
  <c r="M97" i="6" s="1"/>
  <c r="L87" i="13"/>
  <c r="K118" i="9"/>
  <c r="K63" i="9"/>
  <c r="J61" i="9"/>
  <c r="D64" i="9" l="1"/>
  <c r="J83" i="9"/>
  <c r="J104" i="9" s="1"/>
  <c r="J105" i="9" s="1"/>
  <c r="K103" i="9" s="1"/>
  <c r="M87" i="13"/>
  <c r="N72" i="6"/>
  <c r="N97" i="6" s="1"/>
  <c r="L116" i="9"/>
  <c r="L86" i="9"/>
  <c r="L117" i="9" s="1"/>
  <c r="D66" i="9" l="1"/>
  <c r="D73" i="9" s="1"/>
  <c r="D84" i="9"/>
  <c r="N87" i="13"/>
  <c r="C71" i="9"/>
  <c r="L63" i="9"/>
  <c r="L118" i="9"/>
  <c r="K61" i="9"/>
  <c r="D108" i="9" l="1"/>
  <c r="D109" i="9" s="1"/>
  <c r="D94" i="9"/>
  <c r="K83" i="9"/>
  <c r="K104" i="9" s="1"/>
  <c r="K105" i="9" s="1"/>
  <c r="L103" i="9" s="1"/>
  <c r="O71" i="9"/>
  <c r="C96" i="9"/>
  <c r="D71" i="9" s="1"/>
  <c r="M86" i="9"/>
  <c r="M117" i="9" s="1"/>
  <c r="M116" i="9"/>
  <c r="D96" i="9" l="1"/>
  <c r="E71" i="9" s="1"/>
  <c r="E107" i="9"/>
  <c r="M118" i="9"/>
  <c r="M63" i="9"/>
  <c r="L61" i="9"/>
  <c r="E64" i="9" l="1"/>
  <c r="L83" i="9"/>
  <c r="L104" i="9" s="1"/>
  <c r="L105" i="9" s="1"/>
  <c r="M103" i="9" s="1"/>
  <c r="N116" i="9"/>
  <c r="N86" i="9"/>
  <c r="E66" i="9" l="1"/>
  <c r="E73" i="9" s="1"/>
  <c r="E84" i="9"/>
  <c r="N117" i="9"/>
  <c r="N118" i="9" s="1"/>
  <c r="O118" i="9" s="1"/>
  <c r="O86" i="9"/>
  <c r="N63" i="9"/>
  <c r="O63" i="9" s="1"/>
  <c r="P63" i="9" s="1"/>
  <c r="M61" i="9"/>
  <c r="E108" i="9" l="1"/>
  <c r="E109" i="9" s="1"/>
  <c r="E94" i="9"/>
  <c r="E96" i="9" s="1"/>
  <c r="F71" i="9" s="1"/>
  <c r="M83" i="9"/>
  <c r="M104" i="9" s="1"/>
  <c r="M105" i="9" s="1"/>
  <c r="N103" i="9" s="1"/>
  <c r="F107" i="9" l="1"/>
  <c r="N61" i="9"/>
  <c r="N83" i="9" s="1"/>
  <c r="F64" i="9" l="1"/>
  <c r="N104" i="9"/>
  <c r="N105" i="9" s="1"/>
  <c r="O105" i="9" s="1"/>
  <c r="O83" i="9"/>
  <c r="O61" i="9"/>
  <c r="P61" i="9" s="1"/>
  <c r="F66" i="9" l="1"/>
  <c r="F73" i="9" s="1"/>
  <c r="F84" i="9"/>
  <c r="F94" i="9" l="1"/>
  <c r="F96" i="9" s="1"/>
  <c r="G71" i="9" s="1"/>
  <c r="F108" i="9"/>
  <c r="F109" i="9" s="1"/>
  <c r="G107" i="9" l="1"/>
  <c r="G64" i="9" l="1"/>
  <c r="G66" i="9" l="1"/>
  <c r="G84" i="9"/>
  <c r="G73" i="9" l="1"/>
  <c r="G108" i="9"/>
  <c r="G109" i="9" s="1"/>
  <c r="G94" i="9" l="1"/>
  <c r="H107" i="9"/>
  <c r="G96" i="9" l="1"/>
  <c r="H71" i="9" s="1"/>
  <c r="H64" i="9"/>
  <c r="H66" i="9" l="1"/>
  <c r="H84" i="9"/>
  <c r="H108" i="9" s="1"/>
  <c r="H109" i="9" s="1"/>
  <c r="H73" i="9" l="1"/>
  <c r="I107" i="9"/>
  <c r="H94" i="9" l="1"/>
  <c r="I64" i="9"/>
  <c r="H96" i="9" l="1"/>
  <c r="I71" i="9" s="1"/>
  <c r="I66" i="9"/>
  <c r="I84" i="9"/>
  <c r="I108" i="9" s="1"/>
  <c r="I109" i="9" s="1"/>
  <c r="I73" i="9" l="1"/>
  <c r="J107" i="9"/>
  <c r="I94" i="9" l="1"/>
  <c r="J64" i="9"/>
  <c r="I96" i="9" l="1"/>
  <c r="J71" i="9" s="1"/>
  <c r="J66" i="9"/>
  <c r="J84" i="9"/>
  <c r="J108" i="9" s="1"/>
  <c r="J109" i="9" s="1"/>
  <c r="J73" i="9" l="1"/>
  <c r="J94" i="9" s="1"/>
  <c r="K107" i="9"/>
  <c r="J96" i="9" l="1"/>
  <c r="K71" i="9" s="1"/>
  <c r="K64" i="9"/>
  <c r="K66" i="9" l="1"/>
  <c r="K84" i="9"/>
  <c r="K108" i="9" s="1"/>
  <c r="K109" i="9" s="1"/>
  <c r="K73" i="9" l="1"/>
  <c r="K94" i="9" s="1"/>
  <c r="L107" i="9"/>
  <c r="K96" i="9" l="1"/>
  <c r="L71" i="9" s="1"/>
  <c r="L64" i="9"/>
  <c r="L66" i="9" l="1"/>
  <c r="L73" i="9" s="1"/>
  <c r="L84" i="9"/>
  <c r="L108" i="9" s="1"/>
  <c r="L109" i="9" s="1"/>
  <c r="L94" i="9" l="1"/>
  <c r="L96" i="9" s="1"/>
  <c r="M71" i="9" s="1"/>
  <c r="M107" i="9"/>
  <c r="M64" i="9" l="1"/>
  <c r="M66" i="9" l="1"/>
  <c r="M73" i="9" s="1"/>
  <c r="M84" i="9"/>
  <c r="M108" i="9" s="1"/>
  <c r="M109" i="9" s="1"/>
  <c r="N107" i="9" l="1"/>
  <c r="M94" i="9"/>
  <c r="M96" i="9" s="1"/>
  <c r="N71" i="9" s="1"/>
  <c r="N64" i="9" l="1"/>
  <c r="N66" i="9" l="1"/>
  <c r="O64" i="9"/>
  <c r="P64" i="9" s="1"/>
  <c r="N84" i="9"/>
  <c r="N73" i="9" l="1"/>
  <c r="O73" i="9" s="1"/>
  <c r="O66" i="9"/>
  <c r="P66" i="9" s="1"/>
  <c r="N108" i="9"/>
  <c r="N109" i="9" s="1"/>
  <c r="O109" i="9" s="1"/>
  <c r="O84" i="9"/>
  <c r="N94" i="9" l="1"/>
  <c r="N96" i="9" s="1"/>
  <c r="O94" i="9" l="1"/>
  <c r="O9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Selmer Moen</author>
  </authors>
  <commentList>
    <comment ref="B4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New Sales from DRS reports</t>
        </r>
      </text>
    </comment>
    <comment ref="B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Used Sales from DRS reports</t>
        </r>
      </text>
    </comment>
    <comment ref="B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Calculated, no input needed</t>
        </r>
      </text>
    </comment>
    <comment ref="B8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>New COGS as detailed on DRS reports</t>
        </r>
      </text>
    </comment>
    <comment ref="B9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Used COGS as detailed on DRS reports</t>
        </r>
      </text>
    </comment>
    <comment ref="B11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Calculated, no input needed</t>
        </r>
      </text>
    </comment>
    <comment ref="B12" authorId="0" shapeId="0" xr:uid="{00000000-0006-0000-0300-000007000000}">
      <text>
        <r>
          <rPr>
            <b/>
            <sz val="8"/>
            <color indexed="81"/>
            <rFont val="Tahoma"/>
            <family val="2"/>
          </rPr>
          <t>Calculated, no input needed</t>
        </r>
      </text>
    </comment>
    <comment ref="B1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Total payroll expenses - same as 'subtotal payroll' on the projected P&amp;L - found on your income statement</t>
        </r>
      </text>
    </comment>
    <comment ref="B16" authorId="0" shapeId="0" xr:uid="{00000000-0006-0000-0300-000009000000}">
      <text>
        <r>
          <rPr>
            <b/>
            <sz val="8"/>
            <color indexed="81"/>
            <rFont val="Tahoma"/>
            <family val="2"/>
          </rPr>
          <t>Total operating expenses - including payroll but no debt or inventory payments included.  Same as 'total expenses' on the P&amp;L projection.</t>
        </r>
      </text>
    </comment>
    <comment ref="B19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>New Inventory on-hand from DRS reports</t>
        </r>
      </text>
    </comment>
    <comment ref="B20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Used Inventory on hand from DRS reports.</t>
        </r>
      </text>
    </comment>
    <comment ref="B22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>All cash in the business at the end of the month - after paying operating expenses, making debt payments and buying inventory.</t>
        </r>
      </text>
    </comment>
  </commentList>
</comments>
</file>

<file path=xl/sharedStrings.xml><?xml version="1.0" encoding="utf-8"?>
<sst xmlns="http://schemas.openxmlformats.org/spreadsheetml/2006/main" count="691" uniqueCount="307">
  <si>
    <t>Index</t>
  </si>
  <si>
    <t>NEW BUY INDEX</t>
  </si>
  <si>
    <t>input from CAP</t>
  </si>
  <si>
    <t>calculation</t>
  </si>
  <si>
    <t>USED BUY INDEX</t>
  </si>
  <si>
    <t>COMBINED SALES INDEX</t>
  </si>
  <si>
    <t>New Buys</t>
  </si>
  <si>
    <t>Used Buys</t>
  </si>
  <si>
    <t>New Sales</t>
  </si>
  <si>
    <t>Margins</t>
  </si>
  <si>
    <t>USED GPM%</t>
  </si>
  <si>
    <t>GPM% from CAP</t>
  </si>
  <si>
    <t>Sales from CAP</t>
  </si>
  <si>
    <t>sales</t>
  </si>
  <si>
    <t>NEW GPM%</t>
  </si>
  <si>
    <t>YEAR 1 GPM%</t>
  </si>
  <si>
    <t>YEAR 2 GPM% Growth Goal</t>
  </si>
  <si>
    <t>Used</t>
  </si>
  <si>
    <t>New</t>
  </si>
  <si>
    <t>STORE INFORMATION</t>
  </si>
  <si>
    <t>EXPENSE SUMMARY (Monthly Estimates, except where a percent of sales)</t>
  </si>
  <si>
    <t>FRANCHISEE NAME</t>
  </si>
  <si>
    <t>HOURLY LABOR COST</t>
  </si>
  <si>
    <t>(annual  Yr 1 - Yr 2)</t>
  </si>
  <si>
    <t>(as calculated below)</t>
  </si>
  <si>
    <t>INSURANCE-BUSINESS</t>
  </si>
  <si>
    <t>($ per month)</t>
  </si>
  <si>
    <t>STORE LOCATION</t>
  </si>
  <si>
    <t>PAYROLL TAXES</t>
  </si>
  <si>
    <t>(% of payroll)</t>
  </si>
  <si>
    <t>EMPLOY. HEALTH INS.</t>
  </si>
  <si>
    <t>STORE #</t>
  </si>
  <si>
    <t>PAYROLL SERVICES</t>
  </si>
  <si>
    <t>with workers comp</t>
  </si>
  <si>
    <t>Plan Start Date (month-day-year)</t>
  </si>
  <si>
    <t>WORKERS COMP INS</t>
  </si>
  <si>
    <t>OUTSIDE SERVICES</t>
  </si>
  <si>
    <t>OWNER'S NAME</t>
  </si>
  <si>
    <t>ADVERTISING</t>
  </si>
  <si>
    <t>(% of sales)</t>
  </si>
  <si>
    <t>MISC EXPENSE</t>
  </si>
  <si>
    <t>ESTIMATED SALES</t>
  </si>
  <si>
    <t>(enter Total and Used %)</t>
  </si>
  <si>
    <t>ACCOUNTING FEES</t>
  </si>
  <si>
    <t>Total</t>
  </si>
  <si>
    <t>%</t>
  </si>
  <si>
    <t>$</t>
  </si>
  <si>
    <t xml:space="preserve">ROYALTY </t>
  </si>
  <si>
    <t>YEAR 1</t>
  </si>
  <si>
    <t>BANK/CREDIT CARD CHARGES</t>
  </si>
  <si>
    <t>YEAR 2</t>
  </si>
  <si>
    <t>% increase</t>
  </si>
  <si>
    <t>CHECK GUARANTEE</t>
  </si>
  <si>
    <t>Labor Cost Calculation</t>
  </si>
  <si>
    <t>YEAR 3 ASSUMPTIONS</t>
  </si>
  <si>
    <t>(Based on Sales estimate - to be allocated by sales index; includes manager hours and base pay)</t>
  </si>
  <si>
    <t>RENT (Monthly: Base + CAM)</t>
  </si>
  <si>
    <t>MANAGEMENT COMPENSATION:</t>
  </si>
  <si>
    <t>SECURITY MONITORING</t>
  </si>
  <si>
    <t>Percentage of sales method</t>
  </si>
  <si>
    <t>Year 1</t>
  </si>
  <si>
    <t>Year 2</t>
  </si>
  <si>
    <t>OWNER</t>
  </si>
  <si>
    <t>LEASING PAYMENT</t>
  </si>
  <si>
    <t>Hourly labor percent of sales</t>
  </si>
  <si>
    <t>Salary</t>
  </si>
  <si>
    <t>(does not include payroll taxes)</t>
  </si>
  <si>
    <t>REPAIRS / MAINTANENCE</t>
  </si>
  <si>
    <t>Total hourly labor expense</t>
  </si>
  <si>
    <t>(calculated)</t>
  </si>
  <si>
    <t>BUS. TRAVEL/ENTERTAIN.</t>
  </si>
  <si>
    <t>BUSINESS  VEHICLE</t>
  </si>
  <si>
    <t>Additional (optional) labor information</t>
  </si>
  <si>
    <t>Average hourly rate</t>
  </si>
  <si>
    <t>(input)</t>
  </si>
  <si>
    <t>MANAGER</t>
  </si>
  <si>
    <t>OFFICE SUPPLIES &amp; EXP</t>
  </si>
  <si>
    <t>Estimated labor expense</t>
  </si>
  <si>
    <t>Bonus (if $)</t>
  </si>
  <si>
    <t>Bonus (if % of sales)</t>
  </si>
  <si>
    <t>Estimated hours</t>
  </si>
  <si>
    <t>UTILITIES</t>
  </si>
  <si>
    <t>Balance Sheet Summary</t>
  </si>
  <si>
    <t>Inventory Profile (all amounts need to be filled in)</t>
  </si>
  <si>
    <t>CASH BALANCE DAY ONE OF PLAN</t>
  </si>
  <si>
    <t>Sales and Buy Indexes</t>
  </si>
  <si>
    <t>Debt Summary</t>
  </si>
  <si>
    <t>YEAR  1</t>
  </si>
  <si>
    <t>Month</t>
  </si>
  <si>
    <t>Sales Index</t>
  </si>
  <si>
    <r>
      <rPr>
        <b/>
        <u/>
        <sz val="10"/>
        <rFont val="Calibri"/>
        <family val="2"/>
        <scheme val="minor"/>
      </rPr>
      <t>NEW</t>
    </r>
    <r>
      <rPr>
        <u/>
        <sz val="10"/>
        <rFont val="Calibri"/>
        <family val="2"/>
        <scheme val="minor"/>
      </rPr>
      <t xml:space="preserve"> Buys Index</t>
    </r>
  </si>
  <si>
    <r>
      <rPr>
        <b/>
        <u/>
        <sz val="10"/>
        <rFont val="Calibri"/>
        <family val="2"/>
        <scheme val="minor"/>
      </rPr>
      <t>USED</t>
    </r>
    <r>
      <rPr>
        <u/>
        <sz val="10"/>
        <rFont val="Calibri"/>
        <family val="2"/>
        <scheme val="minor"/>
      </rPr>
      <t xml:space="preserve"> Buys Index</t>
    </r>
  </si>
  <si>
    <t>FINANCING-loan #1</t>
  </si>
  <si>
    <t>Credit Card Summary</t>
  </si>
  <si>
    <t>Actual</t>
  </si>
  <si>
    <t>Target</t>
  </si>
  <si>
    <t>Original Balance</t>
  </si>
  <si>
    <t>(Visa/MC/Other)</t>
  </si>
  <si>
    <t xml:space="preserve"> INVENTORY - NEW</t>
  </si>
  <si>
    <t>Interest Rate</t>
  </si>
  <si>
    <t>Term (years)</t>
  </si>
  <si>
    <t>Current Balance</t>
  </si>
  <si>
    <t>INVENTORY -  USED</t>
  </si>
  <si>
    <t>Calculated Payment</t>
  </si>
  <si>
    <t>Current Outstanding Balance</t>
  </si>
  <si>
    <t xml:space="preserve">Freight </t>
  </si>
  <si>
    <t>(% of new sales)</t>
  </si>
  <si>
    <t>Principal Payments (reductions)</t>
  </si>
  <si>
    <t>Inventory Shrink</t>
  </si>
  <si>
    <t>(% of total sales)</t>
  </si>
  <si>
    <t>REVOLVING LINE OF CREDIT</t>
  </si>
  <si>
    <t>(next 12 months)</t>
  </si>
  <si>
    <t>Outstanding Balance</t>
  </si>
  <si>
    <t>Inventory Turnover - New</t>
  </si>
  <si>
    <t>Times</t>
  </si>
  <si>
    <t>Interest Payment</t>
  </si>
  <si>
    <t>Inventory Turnover - Used</t>
  </si>
  <si>
    <t>Total (=100%)</t>
  </si>
  <si>
    <t>FINANCING-loan #2</t>
  </si>
  <si>
    <t>GPM% By Month</t>
  </si>
  <si>
    <t>TARGET INVENTORY - NEW -  YEAR 2</t>
  </si>
  <si>
    <t>GPM-Used</t>
  </si>
  <si>
    <t>GPM-New</t>
  </si>
  <si>
    <t>Term</t>
  </si>
  <si>
    <t>TARGET INVENTORY -  USED YEAR 2</t>
  </si>
  <si>
    <t>EQUITY CASH DRAW</t>
  </si>
  <si>
    <t>Plan Year 1</t>
  </si>
  <si>
    <t>Plan Year 2</t>
  </si>
  <si>
    <t>YEAR 3 BASIC PROJECTIONS (for Year 2 OTB)</t>
  </si>
  <si>
    <t>Annual Total:</t>
  </si>
  <si>
    <t>TARGET INVENTORY - NEW</t>
  </si>
  <si>
    <t>TARGET INVENTORY -  USED</t>
  </si>
  <si>
    <t>Weeks Per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</si>
  <si>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</si>
  <si>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</si>
  <si>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</si>
  <si>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</si>
  <si>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</si>
  <si>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</si>
  <si>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</si>
  <si>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</si>
  <si>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</si>
  <si>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</si>
  <si>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</si>
  <si>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</si>
  <si>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</si>
  <si>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/>
  </si>
  <si>
    <t xml:space="preserve"> </t>
  </si>
  <si>
    <t>SALES-Used</t>
  </si>
  <si>
    <t>SALES-New</t>
  </si>
  <si>
    <t>Total Sales</t>
  </si>
  <si>
    <t>COST OF SALES</t>
  </si>
  <si>
    <t>Used GPM%</t>
  </si>
  <si>
    <t xml:space="preserve">  Cost of Goods Sold-Used</t>
  </si>
  <si>
    <t xml:space="preserve">  Inventory Shrink</t>
  </si>
  <si>
    <t xml:space="preserve">  Freight on Goods Received</t>
  </si>
  <si>
    <t>New GPM%</t>
  </si>
  <si>
    <t xml:space="preserve">  Cost of Goods Sold-New</t>
  </si>
  <si>
    <t xml:space="preserve">  Total Cost of Sales</t>
  </si>
  <si>
    <t>Gross Profit</t>
  </si>
  <si>
    <t>EXPENSES</t>
  </si>
  <si>
    <t>Payroll Expenses</t>
  </si>
  <si>
    <t>subtotal Payroll</t>
  </si>
  <si>
    <t>Operating Expenses</t>
  </si>
  <si>
    <t>TOTAL EXPENSE</t>
  </si>
  <si>
    <t>PROFIT BEFORE INTEREST</t>
  </si>
  <si>
    <t>Loan #1 Interest</t>
  </si>
  <si>
    <t>LOC interest</t>
  </si>
  <si>
    <t>Credit Card interest</t>
  </si>
  <si>
    <t>Loan #2 interest</t>
  </si>
  <si>
    <t>Net Operating Results</t>
  </si>
  <si>
    <t>CASH FLOW &amp; P/L RECONCILIATION</t>
  </si>
  <si>
    <t>Summary</t>
  </si>
  <si>
    <t>Cash Balance, beginning</t>
  </si>
  <si>
    <t>Inventory Components:</t>
  </si>
  <si>
    <t>Add: Cost of Goods Sold (+)</t>
  </si>
  <si>
    <t>Less: New inventory purchases (-)</t>
  </si>
  <si>
    <t>Less: Used inventory purchases (-)</t>
  </si>
  <si>
    <t>Net Inventory Cash Effect</t>
  </si>
  <si>
    <t>Debt/Borrowing activities:</t>
  </si>
  <si>
    <t>Add: New Borrowings</t>
  </si>
  <si>
    <t>Less: Loan #1 principal repayments</t>
  </si>
  <si>
    <t>Less: Loan #2 principal repayments</t>
  </si>
  <si>
    <t>Less: Line of credit principal repayments</t>
  </si>
  <si>
    <t>Less: Credit card principal repayments</t>
  </si>
  <si>
    <t>Owner Equity Withdrawal:</t>
  </si>
  <si>
    <t>Other Items:</t>
  </si>
  <si>
    <t>Increase/decrease in Accounts Payable/other liabilities (+)/(-)</t>
  </si>
  <si>
    <t>Miscellaneous Cash Outlay (-)</t>
  </si>
  <si>
    <t>Net Cash increase/(decrease)</t>
  </si>
  <si>
    <t>Cash Balance, ending</t>
  </si>
  <si>
    <t xml:space="preserve">  YEAR 1</t>
  </si>
  <si>
    <t>DEBT BALANCE-loan #1</t>
  </si>
  <si>
    <t>Ending Summary</t>
  </si>
  <si>
    <t>Beginning Balance</t>
  </si>
  <si>
    <t>Principal Reduction</t>
  </si>
  <si>
    <t>Ending Balance</t>
  </si>
  <si>
    <t>DEBT BALANCE-loan #2</t>
  </si>
  <si>
    <t>Line of credit payments</t>
  </si>
  <si>
    <t>Line of credit rate (if not on Input page)</t>
  </si>
  <si>
    <t>New Borrowings</t>
  </si>
  <si>
    <t>input</t>
  </si>
  <si>
    <t>Credit Card payments</t>
  </si>
  <si>
    <t>Inventory Purchase Targets/Projections</t>
  </si>
  <si>
    <t>Buy Index</t>
  </si>
  <si>
    <t>NEW Inventory Purchases - Year 1</t>
  </si>
  <si>
    <t>Inventory Summary</t>
  </si>
  <si>
    <t>Beginning New Inventory Balance (for sales)</t>
  </si>
  <si>
    <t>Cost of Goods Sold - New</t>
  </si>
  <si>
    <t>New Inventory purchases target</t>
  </si>
  <si>
    <t>subtotal New Inventory Month-end balance</t>
  </si>
  <si>
    <t>USED Inventory Purchases - Year 1</t>
  </si>
  <si>
    <t>Beginning Used Inventory Balance (for sales)</t>
  </si>
  <si>
    <t>Cost of Goods Sold - Used</t>
  </si>
  <si>
    <t>Used Inventory purchases target</t>
  </si>
  <si>
    <t>subtotal Used Inventory Month-end balance</t>
  </si>
  <si>
    <t>Staff Hours projection</t>
  </si>
  <si>
    <t>weeks/month (5 or 4)</t>
  </si>
  <si>
    <t>Staff Hours Summary</t>
  </si>
  <si>
    <t>Base Coverage (based on 140 hours minimum weekly)</t>
  </si>
  <si>
    <t>Variable Hours (based on sales index)</t>
  </si>
  <si>
    <t>Subtotal Staff Hours by month</t>
  </si>
  <si>
    <t>INPUTS:</t>
  </si>
  <si>
    <t>ACTUALS</t>
  </si>
  <si>
    <t>Sales</t>
  </si>
  <si>
    <t>Used Sales</t>
  </si>
  <si>
    <t>COGS</t>
  </si>
  <si>
    <t>New COGS</t>
  </si>
  <si>
    <t>Used COGS</t>
  </si>
  <si>
    <t>Gross $</t>
  </si>
  <si>
    <t>Gross %</t>
  </si>
  <si>
    <t>Subtotal Payroll</t>
  </si>
  <si>
    <t>Total Expenses</t>
  </si>
  <si>
    <t>Inventory Balance</t>
  </si>
  <si>
    <t>New Inv</t>
  </si>
  <si>
    <t>Used Inv</t>
  </si>
  <si>
    <t>Cash Balance</t>
  </si>
  <si>
    <t>(Automatically Calculated)</t>
  </si>
  <si>
    <t>Actual v. Budget Variance Analysis</t>
  </si>
  <si>
    <t>Monthly Variance $</t>
  </si>
  <si>
    <t>Monthly Variance %</t>
  </si>
  <si>
    <t>YTD $</t>
  </si>
  <si>
    <t>YTD %</t>
  </si>
  <si>
    <t>Payroll</t>
  </si>
  <si>
    <t>New Inventory Balance</t>
  </si>
  <si>
    <t>Used Inventory Balance</t>
  </si>
  <si>
    <t>(Automatically Populated)</t>
  </si>
  <si>
    <t>PLAN</t>
  </si>
  <si>
    <t>Inventory</t>
  </si>
  <si>
    <t>Cash</t>
  </si>
  <si>
    <t>Percent of Sales</t>
  </si>
  <si>
    <t>Breakeven Analysis (based upon Year 1 P&amp;L)</t>
  </si>
  <si>
    <t>Breakeven Amounts</t>
  </si>
  <si>
    <t>Daily</t>
  </si>
  <si>
    <t>Weekly</t>
  </si>
  <si>
    <t>Variable Expenses</t>
  </si>
  <si>
    <t>Monthly Ave</t>
  </si>
  <si>
    <t>Annual</t>
  </si>
  <si>
    <t>COGS - USED</t>
  </si>
  <si>
    <t>COGS - NEW</t>
  </si>
  <si>
    <t>Monthly</t>
  </si>
  <si>
    <t>Yearly</t>
  </si>
  <si>
    <t>FREIGHT FOR INBOUND INVENTORY</t>
  </si>
  <si>
    <t>SHRINK</t>
  </si>
  <si>
    <t>"For every dollar in sales, I have this many cents to cover fixed expenses."</t>
  </si>
  <si>
    <t>Contribution Margin</t>
  </si>
  <si>
    <t>Fixed Expenses</t>
  </si>
  <si>
    <t>OWNER SALARY</t>
  </si>
  <si>
    <t>MANAGER SALARY</t>
  </si>
  <si>
    <t>Increase in Fixed Expenses</t>
  </si>
  <si>
    <t>RENT (Base + CAM)</t>
  </si>
  <si>
    <t>Increase in Sales to cover additional Fixed Expenses</t>
  </si>
  <si>
    <t>CELL PHONE</t>
  </si>
  <si>
    <t>TELEPHONE/INTERNET</t>
  </si>
  <si>
    <t>EMPLOYEE HEALTH INSURANCE/BENEFITS</t>
  </si>
  <si>
    <t>STORE OPERATING EXPENSE</t>
  </si>
  <si>
    <t>CASH BASED EXPENSE 1</t>
  </si>
  <si>
    <t>CASH BASED EXPENSE 2</t>
  </si>
  <si>
    <t>CASH BASED EXPENSE 3</t>
  </si>
  <si>
    <t>CASH BASED EXPENSE 4</t>
  </si>
  <si>
    <t>INTEREST EXPENSE</t>
  </si>
  <si>
    <t>*Notes</t>
  </si>
  <si>
    <t>Sunday</t>
  </si>
  <si>
    <t>Monday</t>
  </si>
  <si>
    <t>Tuesday</t>
  </si>
  <si>
    <t>Wednesday</t>
  </si>
  <si>
    <t>Thursday</t>
  </si>
  <si>
    <t>Friday</t>
  </si>
  <si>
    <t>Saturday</t>
  </si>
  <si>
    <t>Daily Hours to Schedule by Month</t>
  </si>
  <si>
    <t>Daily Sales Index</t>
  </si>
  <si>
    <t>Staff Hours Projection Based on P&amp;LY1</t>
  </si>
  <si>
    <t># of Weeks in Month</t>
  </si>
  <si>
    <t xml:space="preserve">Staff Hours Per Week </t>
  </si>
  <si>
    <t>Based on store's daily sales index</t>
  </si>
  <si>
    <t>Yellow Denotes User Input, Omit % and $ Signs</t>
  </si>
  <si>
    <t>Hours to schedule each day/week</t>
  </si>
  <si>
    <t>Grey Denotes Calculation</t>
  </si>
  <si>
    <t>Franchisee/Manager Weekly Floor Hours</t>
  </si>
  <si>
    <t>*Employee safety and event days need to be a consideration as above is a guideline</t>
  </si>
  <si>
    <t xml:space="preserve">          Estimated sales per labor hour</t>
  </si>
  <si>
    <t>(New stores: Estimate 40 hours per week per operating partner)</t>
  </si>
  <si>
    <t>Annual Manager Floor Hours*</t>
  </si>
  <si>
    <t>Bob, Lori &amp; Adam Brown</t>
  </si>
  <si>
    <t>Ann Arbor</t>
  </si>
  <si>
    <t>Loan to be paid off at the end of Oct</t>
  </si>
  <si>
    <t xml:space="preserve">paid off monthly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</si>
</sst>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164" formatCode="&quot;$&quot;#,##0"/>
    <numFmt numFmtId="165" formatCode="mm/dd/yy"/>
    <numFmt numFmtId="166" formatCode="mmmm\-yy"/>
    <numFmt numFmtId="167" formatCode="&quot;$&quot;#,##0.000_);[Red]\(&quot;$&quot;#,##0.000\)"/>
    <numFmt numFmtId="168" formatCode="yyyy"/>
    <numFmt numFmtId="169" formatCode="0.0%"/>
    <numFmt numFmtId="170" formatCode="[$-409]mmm\-yy;@"/>
    <numFmt numFmtId="171" formatCode="mmmm"/>
    <numFmt numFmtId="172" formatCode="&quot;$&quot;#,##0.00"/>
  </numFmts>
  <fonts count="46">
    <font>
      <sz val="10"/>
      <name val="Geneva"/>
    </font>
    <font>
      <sz val="10"/>
      <name val="Geneva"/>
    </font>
    <font>
      <sz val="8"/>
      <name val="Geneva"/>
    </font>
    <font>
      <sz val="10"/>
      <name val="Arial"/>
      <family val="2"/>
    </font>
    <font>
      <b/>
      <sz val="8"/>
      <color indexed="81"/>
      <name val="Tahoma"/>
      <family val="2"/>
    </font>
    <font>
      <sz val="10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20"/>
      <name val="Calibri"/>
      <family val="2"/>
      <scheme val="minor"/>
    </font>
    <font>
      <sz val="14"/>
      <name val="Calibri"/>
      <family val="2"/>
      <scheme val="minor"/>
    </font>
    <font>
      <u/>
      <sz val="12"/>
      <name val="Calibri"/>
      <family val="2"/>
      <scheme val="minor"/>
    </font>
    <font>
      <u/>
      <sz val="10"/>
      <name val="Calibri"/>
      <family val="2"/>
      <scheme val="minor"/>
    </font>
    <font>
      <b/>
      <u/>
      <sz val="14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0"/>
      <name val="Calibri"/>
      <family val="2"/>
      <scheme val="minor"/>
    </font>
    <font>
      <u/>
      <sz val="11"/>
      <name val="Calibri"/>
      <family val="2"/>
      <scheme val="minor"/>
    </font>
    <font>
      <i/>
      <sz val="10"/>
      <name val="Calibri"/>
      <family val="2"/>
      <scheme val="minor"/>
    </font>
    <font>
      <u/>
      <sz val="8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b/>
      <i/>
      <sz val="24"/>
      <name val="Calibri"/>
      <family val="2"/>
      <scheme val="minor"/>
    </font>
    <font>
      <i/>
      <sz val="14"/>
      <name val="Calibri"/>
      <family val="2"/>
      <scheme val="minor"/>
    </font>
    <font>
      <u/>
      <sz val="14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name val="Geneva"/>
    </font>
    <font>
      <b/>
      <sz val="10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4"/>
      <name val="Calibri"/>
      <family val="2"/>
      <scheme val="minor"/>
    </font>
    <font>
      <u/>
      <sz val="4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00"/>
      <name val="Arial"/>
      <family val="2"/>
    </font>
    <font>
      <b/>
      <u/>
      <sz val="9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EBE5FC"/>
      </patternFill>
    </fill>
    <fill>
      <patternFill patternType="solid">
        <fgColor rgb="FFFFFF00"/>
        <bgColor rgb="FFFFFFEB"/>
      </patternFill>
    </fill>
    <fill>
      <patternFill patternType="solid">
        <fgColor theme="0" tint="-0.14999847407452621"/>
        <bgColor auto="1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medium">
        <color indexed="64"/>
      </bottom>
      <diagonal/>
    </border>
  </borders>
  <cellStyleXfs count="7">
    <xf numFmtId="0" fontId="0" fillId="0" borderId="0"/>
    <xf numFmtId="8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40" fillId="0" borderId="0"/>
    <xf numFmtId="8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7">
    <xf numFmtId="0" fontId="0" fillId="0" borderId="0" xfId="0"/>
    <xf numFmtId="0" fontId="5" fillId="0" borderId="0" xfId="0" applyFont="1"/>
    <xf numFmtId="5" fontId="5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6" fontId="5" fillId="0" borderId="0" xfId="0" applyNumberFormat="1" applyFont="1"/>
    <xf numFmtId="5" fontId="11" fillId="0" borderId="0" xfId="0" quotePrefix="1" applyNumberFormat="1" applyFont="1" applyAlignment="1">
      <alignment horizontal="left" indent="1"/>
    </xf>
    <xf numFmtId="5" fontId="11" fillId="0" borderId="0" xfId="0" applyNumberFormat="1" applyFont="1" applyAlignment="1">
      <alignment horizontal="left" indent="1"/>
    </xf>
    <xf numFmtId="5" fontId="5" fillId="0" borderId="0" xfId="0" quotePrefix="1" applyNumberFormat="1" applyFont="1" applyAlignment="1">
      <alignment horizontal="left"/>
    </xf>
    <xf numFmtId="5" fontId="5" fillId="0" borderId="0" xfId="0" applyNumberFormat="1" applyFont="1" applyAlignment="1">
      <alignment horizontal="left"/>
    </xf>
    <xf numFmtId="6" fontId="8" fillId="0" borderId="0" xfId="0" applyNumberFormat="1" applyFont="1"/>
    <xf numFmtId="0" fontId="8" fillId="0" borderId="0" xfId="0" applyFont="1"/>
    <xf numFmtId="6" fontId="5" fillId="0" borderId="0" xfId="1" applyNumberFormat="1" applyFont="1"/>
    <xf numFmtId="0" fontId="5" fillId="0" borderId="0" xfId="0" applyFont="1" applyAlignment="1">
      <alignment horizontal="right"/>
    </xf>
    <xf numFmtId="5" fontId="5" fillId="0" borderId="0" xfId="0" applyNumberFormat="1" applyFont="1" applyProtection="1">
      <protection locked="0"/>
    </xf>
    <xf numFmtId="0" fontId="5" fillId="0" borderId="5" xfId="0" applyFont="1" applyBorder="1"/>
    <xf numFmtId="5" fontId="5" fillId="0" borderId="16" xfId="0" applyNumberFormat="1" applyFont="1" applyBorder="1"/>
    <xf numFmtId="5" fontId="5" fillId="0" borderId="9" xfId="0" applyNumberFormat="1" applyFont="1" applyBorder="1" applyProtection="1">
      <protection locked="0"/>
    </xf>
    <xf numFmtId="5" fontId="5" fillId="0" borderId="3" xfId="0" applyNumberFormat="1" applyFont="1" applyBorder="1" applyProtection="1">
      <protection locked="0"/>
    </xf>
    <xf numFmtId="5" fontId="5" fillId="0" borderId="3" xfId="0" applyNumberFormat="1" applyFont="1" applyBorder="1"/>
    <xf numFmtId="0" fontId="5" fillId="0" borderId="3" xfId="0" applyFont="1" applyBorder="1"/>
    <xf numFmtId="0" fontId="5" fillId="0" borderId="4" xfId="0" applyFont="1" applyBorder="1"/>
    <xf numFmtId="5" fontId="20" fillId="0" borderId="6" xfId="0" applyNumberFormat="1" applyFont="1" applyBorder="1"/>
    <xf numFmtId="5" fontId="5" fillId="0" borderId="0" xfId="0" applyNumberFormat="1" applyFont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5" fillId="0" borderId="11" xfId="0" applyFont="1" applyBorder="1"/>
    <xf numFmtId="0" fontId="5" fillId="0" borderId="6" xfId="0" applyFont="1" applyBorder="1"/>
    <xf numFmtId="5" fontId="5" fillId="0" borderId="1" xfId="0" applyNumberFormat="1" applyFont="1" applyBorder="1" applyProtection="1">
      <protection locked="0"/>
    </xf>
    <xf numFmtId="5" fontId="8" fillId="0" borderId="6" xfId="0" applyNumberFormat="1" applyFont="1" applyBorder="1" applyAlignment="1">
      <alignment horizontal="left" indent="1"/>
    </xf>
    <xf numFmtId="5" fontId="9" fillId="0" borderId="0" xfId="0" applyNumberFormat="1" applyFont="1"/>
    <xf numFmtId="5" fontId="11" fillId="0" borderId="1" xfId="0" applyNumberFormat="1" applyFont="1" applyBorder="1" applyAlignment="1">
      <alignment horizontal="center"/>
    </xf>
    <xf numFmtId="5" fontId="8" fillId="0" borderId="0" xfId="0" applyNumberFormat="1" applyFont="1" applyAlignment="1" applyProtection="1">
      <alignment horizontal="left" indent="3"/>
      <protection locked="0"/>
    </xf>
    <xf numFmtId="5" fontId="5" fillId="0" borderId="0" xfId="0" applyNumberFormat="1" applyFont="1" applyAlignment="1" applyProtection="1">
      <alignment horizontal="left" indent="3"/>
      <protection locked="0"/>
    </xf>
    <xf numFmtId="5" fontId="5" fillId="0" borderId="1" xfId="0" applyNumberFormat="1" applyFont="1" applyBorder="1"/>
    <xf numFmtId="0" fontId="8" fillId="0" borderId="6" xfId="0" applyFont="1" applyBorder="1" applyAlignment="1">
      <alignment horizontal="left" indent="1"/>
    </xf>
    <xf numFmtId="0" fontId="11" fillId="0" borderId="0" xfId="0" applyFont="1"/>
    <xf numFmtId="0" fontId="5" fillId="0" borderId="10" xfId="0" applyFont="1" applyBorder="1"/>
    <xf numFmtId="0" fontId="5" fillId="0" borderId="6" xfId="0" applyFont="1" applyBorder="1" applyAlignment="1">
      <alignment horizontal="left" indent="1"/>
    </xf>
    <xf numFmtId="0" fontId="5" fillId="0" borderId="0" xfId="0" applyFont="1" applyAlignment="1" applyProtection="1">
      <alignment horizontal="left" indent="3"/>
      <protection locked="0"/>
    </xf>
    <xf numFmtId="5" fontId="15" fillId="0" borderId="0" xfId="0" applyNumberFormat="1" applyFont="1"/>
    <xf numFmtId="5" fontId="10" fillId="0" borderId="0" xfId="0" applyNumberFormat="1" applyFont="1"/>
    <xf numFmtId="10" fontId="11" fillId="0" borderId="0" xfId="0" applyNumberFormat="1" applyFont="1" applyAlignment="1" applyProtection="1">
      <alignment horizontal="center"/>
      <protection locked="0"/>
    </xf>
    <xf numFmtId="5" fontId="21" fillId="0" borderId="0" xfId="0" applyNumberFormat="1" applyFont="1"/>
    <xf numFmtId="5" fontId="15" fillId="0" borderId="0" xfId="0" applyNumberFormat="1" applyFont="1" applyAlignment="1">
      <alignment horizontal="center"/>
    </xf>
    <xf numFmtId="5" fontId="8" fillId="0" borderId="6" xfId="0" applyNumberFormat="1" applyFont="1" applyBorder="1" applyAlignment="1" applyProtection="1">
      <alignment horizontal="left" indent="1"/>
      <protection locked="0"/>
    </xf>
    <xf numFmtId="0" fontId="5" fillId="0" borderId="0" xfId="0" applyFont="1" applyAlignment="1">
      <alignment horizontal="left" indent="3"/>
    </xf>
    <xf numFmtId="5" fontId="5" fillId="0" borderId="0" xfId="0" applyNumberFormat="1" applyFont="1" applyAlignment="1">
      <alignment horizontal="center"/>
    </xf>
    <xf numFmtId="5" fontId="10" fillId="0" borderId="0" xfId="0" applyNumberFormat="1" applyFont="1" applyAlignment="1">
      <alignment horizontal="center"/>
    </xf>
    <xf numFmtId="0" fontId="8" fillId="0" borderId="6" xfId="0" quotePrefix="1" applyFont="1" applyBorder="1" applyAlignment="1">
      <alignment horizontal="left" indent="1"/>
    </xf>
    <xf numFmtId="5" fontId="18" fillId="0" borderId="0" xfId="0" applyNumberFormat="1" applyFont="1"/>
    <xf numFmtId="0" fontId="5" fillId="0" borderId="9" xfId="0" applyFont="1" applyBorder="1"/>
    <xf numFmtId="5" fontId="13" fillId="0" borderId="6" xfId="0" applyNumberFormat="1" applyFont="1" applyBorder="1" applyAlignment="1">
      <alignment horizontal="left" indent="1"/>
    </xf>
    <xf numFmtId="5" fontId="8" fillId="0" borderId="0" xfId="0" applyNumberFormat="1" applyFont="1" applyProtection="1">
      <protection locked="0"/>
    </xf>
    <xf numFmtId="5" fontId="5" fillId="0" borderId="6" xfId="0" applyNumberFormat="1" applyFont="1" applyBorder="1" applyAlignment="1">
      <alignment horizontal="left" indent="1"/>
    </xf>
    <xf numFmtId="5" fontId="22" fillId="0" borderId="0" xfId="0" applyNumberFormat="1" applyFont="1" applyAlignment="1">
      <alignment horizontal="left"/>
    </xf>
    <xf numFmtId="5" fontId="19" fillId="0" borderId="0" xfId="0" applyNumberFormat="1" applyFont="1" applyAlignment="1">
      <alignment horizontal="centerContinuous"/>
    </xf>
    <xf numFmtId="5" fontId="22" fillId="0" borderId="0" xfId="0" applyNumberFormat="1" applyFont="1" applyAlignment="1">
      <alignment horizontal="center"/>
    </xf>
    <xf numFmtId="0" fontId="5" fillId="0" borderId="11" xfId="0" applyFont="1" applyBorder="1" applyProtection="1">
      <protection locked="0"/>
    </xf>
    <xf numFmtId="5" fontId="5" fillId="0" borderId="6" xfId="0" applyNumberFormat="1" applyFont="1" applyBorder="1"/>
    <xf numFmtId="0" fontId="8" fillId="0" borderId="6" xfId="0" applyFont="1" applyBorder="1" applyAlignment="1">
      <alignment horizontal="left" indent="3"/>
    </xf>
    <xf numFmtId="0" fontId="8" fillId="0" borderId="0" xfId="0" applyFont="1" applyAlignment="1">
      <alignment horizontal="center"/>
    </xf>
    <xf numFmtId="5" fontId="8" fillId="0" borderId="0" xfId="0" applyNumberFormat="1" applyFont="1" applyAlignment="1">
      <alignment horizontal="left" indent="3"/>
    </xf>
    <xf numFmtId="5" fontId="11" fillId="0" borderId="0" xfId="0" applyNumberFormat="1" applyFont="1" applyProtection="1">
      <protection locked="0"/>
    </xf>
    <xf numFmtId="5" fontId="23" fillId="0" borderId="0" xfId="0" applyNumberFormat="1" applyFont="1" applyAlignment="1">
      <alignment horizontal="center"/>
    </xf>
    <xf numFmtId="5" fontId="19" fillId="0" borderId="0" xfId="0" applyNumberFormat="1" applyFont="1" applyAlignment="1">
      <alignment horizontal="center"/>
    </xf>
    <xf numFmtId="6" fontId="19" fillId="0" borderId="0" xfId="0" applyNumberFormat="1" applyFont="1" applyAlignment="1" applyProtection="1">
      <alignment horizontal="center"/>
      <protection locked="0"/>
    </xf>
    <xf numFmtId="6" fontId="8" fillId="0" borderId="6" xfId="0" applyNumberFormat="1" applyFont="1" applyBorder="1" applyAlignment="1" applyProtection="1">
      <alignment horizontal="left" indent="1"/>
      <protection locked="0"/>
    </xf>
    <xf numFmtId="0" fontId="5" fillId="0" borderId="6" xfId="0" applyFont="1" applyBorder="1" applyAlignment="1">
      <alignment horizontal="left" indent="3"/>
    </xf>
    <xf numFmtId="6" fontId="5" fillId="0" borderId="0" xfId="1" applyNumberFormat="1" applyFont="1" applyFill="1" applyBorder="1" applyAlignment="1" applyProtection="1">
      <alignment horizontal="center"/>
    </xf>
    <xf numFmtId="5" fontId="23" fillId="0" borderId="0" xfId="0" applyNumberFormat="1" applyFont="1"/>
    <xf numFmtId="5" fontId="5" fillId="0" borderId="11" xfId="0" applyNumberFormat="1" applyFont="1" applyBorder="1"/>
    <xf numFmtId="1" fontId="24" fillId="0" borderId="10" xfId="0" applyNumberFormat="1" applyFont="1" applyBorder="1" applyAlignment="1">
      <alignment horizontal="center"/>
    </xf>
    <xf numFmtId="0" fontId="24" fillId="0" borderId="0" xfId="0" applyFont="1" applyAlignment="1">
      <alignment horizontal="left" indent="3"/>
    </xf>
    <xf numFmtId="0" fontId="24" fillId="0" borderId="0" xfId="0" applyFont="1" applyAlignment="1">
      <alignment horizontal="left"/>
    </xf>
    <xf numFmtId="0" fontId="24" fillId="0" borderId="0" xfId="0" applyFont="1"/>
    <xf numFmtId="1" fontId="24" fillId="0" borderId="0" xfId="0" applyNumberFormat="1" applyFont="1" applyAlignment="1">
      <alignment horizontal="center"/>
    </xf>
    <xf numFmtId="5" fontId="5" fillId="0" borderId="0" xfId="0" applyNumberFormat="1" applyFont="1" applyAlignment="1" applyProtection="1">
      <alignment horizontal="center"/>
      <protection locked="0"/>
    </xf>
    <xf numFmtId="0" fontId="24" fillId="0" borderId="6" xfId="0" applyFont="1" applyBorder="1" applyAlignment="1">
      <alignment horizontal="left" indent="3"/>
    </xf>
    <xf numFmtId="8" fontId="5" fillId="0" borderId="0" xfId="1" applyFont="1" applyFill="1" applyBorder="1" applyAlignment="1" applyProtection="1">
      <alignment horizontal="center"/>
    </xf>
    <xf numFmtId="5" fontId="19" fillId="0" borderId="0" xfId="0" applyNumberFormat="1" applyFont="1"/>
    <xf numFmtId="6" fontId="24" fillId="0" borderId="10" xfId="0" applyNumberFormat="1" applyFont="1" applyBorder="1" applyAlignment="1">
      <alignment horizontal="center"/>
    </xf>
    <xf numFmtId="6" fontId="24" fillId="0" borderId="0" xfId="0" applyNumberFormat="1" applyFont="1" applyAlignment="1">
      <alignment horizontal="center"/>
    </xf>
    <xf numFmtId="0" fontId="8" fillId="0" borderId="6" xfId="0" applyFont="1" applyBorder="1" applyAlignment="1">
      <alignment horizontal="left" indent="2"/>
    </xf>
    <xf numFmtId="5" fontId="5" fillId="0" borderId="0" xfId="0" applyNumberFormat="1" applyFont="1" applyAlignment="1">
      <alignment horizontal="left" indent="4"/>
    </xf>
    <xf numFmtId="5" fontId="5" fillId="0" borderId="2" xfId="0" applyNumberFormat="1" applyFont="1" applyBorder="1"/>
    <xf numFmtId="0" fontId="5" fillId="0" borderId="6" xfId="0" applyFont="1" applyBorder="1" applyAlignment="1">
      <alignment horizontal="left" indent="2"/>
    </xf>
    <xf numFmtId="167" fontId="5" fillId="0" borderId="0" xfId="1" applyNumberFormat="1" applyFont="1" applyFill="1" applyBorder="1" applyAlignment="1" applyProtection="1">
      <alignment horizontal="center"/>
    </xf>
    <xf numFmtId="6" fontId="23" fillId="0" borderId="0" xfId="0" applyNumberFormat="1" applyFont="1" applyAlignment="1" applyProtection="1">
      <alignment horizontal="center"/>
      <protection locked="0"/>
    </xf>
    <xf numFmtId="6" fontId="23" fillId="0" borderId="17" xfId="0" applyNumberFormat="1" applyFont="1" applyBorder="1" applyAlignment="1" applyProtection="1">
      <alignment horizontal="left"/>
      <protection locked="0"/>
    </xf>
    <xf numFmtId="5" fontId="5" fillId="0" borderId="11" xfId="0" applyNumberFormat="1" applyFont="1" applyBorder="1" applyProtection="1">
      <protection locked="0"/>
    </xf>
    <xf numFmtId="5" fontId="11" fillId="0" borderId="0" xfId="0" applyNumberFormat="1" applyFont="1" applyAlignment="1">
      <alignment horizontal="center"/>
    </xf>
    <xf numFmtId="1" fontId="5" fillId="0" borderId="0" xfId="3" applyNumberFormat="1" applyFont="1" applyFill="1" applyBorder="1" applyAlignment="1" applyProtection="1">
      <alignment horizontal="center"/>
    </xf>
    <xf numFmtId="0" fontId="8" fillId="0" borderId="0" xfId="0" applyFont="1" applyAlignment="1">
      <alignment horizontal="left" indent="3"/>
    </xf>
    <xf numFmtId="5" fontId="11" fillId="0" borderId="0" xfId="0" applyNumberFormat="1" applyFont="1" applyAlignment="1" applyProtection="1">
      <alignment horizontal="center"/>
      <protection locked="0"/>
    </xf>
    <xf numFmtId="10" fontId="5" fillId="0" borderId="0" xfId="3" applyNumberFormat="1" applyFont="1" applyFill="1" applyBorder="1" applyAlignment="1" applyProtection="1">
      <alignment horizontal="center"/>
    </xf>
    <xf numFmtId="7" fontId="11" fillId="0" borderId="0" xfId="0" applyNumberFormat="1" applyFont="1" applyProtection="1">
      <protection locked="0"/>
    </xf>
    <xf numFmtId="5" fontId="24" fillId="0" borderId="0" xfId="0" applyNumberFormat="1" applyFont="1" applyAlignment="1">
      <alignment horizontal="center"/>
    </xf>
    <xf numFmtId="6" fontId="5" fillId="0" borderId="1" xfId="0" applyNumberFormat="1" applyFont="1" applyBorder="1" applyProtection="1">
      <protection locked="0"/>
    </xf>
    <xf numFmtId="0" fontId="5" fillId="0" borderId="13" xfId="0" applyFont="1" applyBorder="1"/>
    <xf numFmtId="0" fontId="5" fillId="0" borderId="7" xfId="0" applyFont="1" applyBorder="1"/>
    <xf numFmtId="0" fontId="5" fillId="0" borderId="1" xfId="0" applyFont="1" applyBorder="1"/>
    <xf numFmtId="5" fontId="6" fillId="0" borderId="0" xfId="0" applyNumberFormat="1" applyFont="1"/>
    <xf numFmtId="6" fontId="5" fillId="0" borderId="0" xfId="0" applyNumberFormat="1" applyFont="1" applyProtection="1">
      <protection locked="0"/>
    </xf>
    <xf numFmtId="8" fontId="11" fillId="0" borderId="0" xfId="0" applyNumberFormat="1" applyFont="1" applyProtection="1">
      <protection locked="0"/>
    </xf>
    <xf numFmtId="5" fontId="9" fillId="0" borderId="0" xfId="0" quotePrefix="1" applyNumberFormat="1" applyFont="1" applyAlignment="1">
      <alignment horizontal="left"/>
    </xf>
    <xf numFmtId="5" fontId="11" fillId="0" borderId="0" xfId="0" applyNumberFormat="1" applyFont="1"/>
    <xf numFmtId="5" fontId="5" fillId="0" borderId="0" xfId="0" applyNumberFormat="1" applyFont="1" applyAlignment="1">
      <alignment horizontal="centerContinuous"/>
    </xf>
    <xf numFmtId="5" fontId="20" fillId="0" borderId="0" xfId="0" applyNumberFormat="1" applyFont="1"/>
    <xf numFmtId="5" fontId="8" fillId="0" borderId="0" xfId="0" quotePrefix="1" applyNumberFormat="1" applyFont="1" applyAlignment="1">
      <alignment horizontal="left"/>
    </xf>
    <xf numFmtId="5" fontId="8" fillId="0" borderId="0" xfId="0" quotePrefix="1" applyNumberFormat="1" applyFont="1" applyAlignment="1" applyProtection="1">
      <alignment horizontal="left"/>
      <protection locked="0"/>
    </xf>
    <xf numFmtId="5" fontId="8" fillId="0" borderId="0" xfId="0" applyNumberFormat="1" applyFont="1" applyAlignment="1" applyProtection="1">
      <alignment horizontal="left"/>
      <protection locked="0"/>
    </xf>
    <xf numFmtId="5" fontId="20" fillId="0" borderId="14" xfId="0" applyNumberFormat="1" applyFont="1" applyBorder="1"/>
    <xf numFmtId="0" fontId="5" fillId="0" borderId="2" xfId="0" applyFont="1" applyBorder="1"/>
    <xf numFmtId="0" fontId="5" fillId="0" borderId="15" xfId="0" applyFont="1" applyBorder="1"/>
    <xf numFmtId="0" fontId="20" fillId="0" borderId="0" xfId="0" applyFont="1"/>
    <xf numFmtId="0" fontId="5" fillId="0" borderId="17" xfId="0" applyFont="1" applyBorder="1"/>
    <xf numFmtId="5" fontId="25" fillId="0" borderId="0" xfId="0" applyNumberFormat="1" applyFont="1" applyAlignment="1">
      <alignment horizontal="right"/>
    </xf>
    <xf numFmtId="5" fontId="19" fillId="0" borderId="16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5" fontId="8" fillId="0" borderId="9" xfId="0" quotePrefix="1" applyNumberFormat="1" applyFont="1" applyBorder="1" applyAlignment="1">
      <alignment horizontal="left"/>
    </xf>
    <xf numFmtId="5" fontId="5" fillId="0" borderId="4" xfId="0" applyNumberFormat="1" applyFont="1" applyBorder="1" applyProtection="1">
      <protection locked="0"/>
    </xf>
    <xf numFmtId="5" fontId="8" fillId="0" borderId="9" xfId="0" applyNumberFormat="1" applyFont="1" applyBorder="1"/>
    <xf numFmtId="9" fontId="5" fillId="0" borderId="4" xfId="0" applyNumberFormat="1" applyFont="1" applyBorder="1"/>
    <xf numFmtId="166" fontId="5" fillId="0" borderId="16" xfId="0" applyNumberFormat="1" applyFont="1" applyBorder="1" applyAlignment="1">
      <alignment horizontal="left" indent="1"/>
    </xf>
    <xf numFmtId="5" fontId="5" fillId="0" borderId="17" xfId="0" applyNumberFormat="1" applyFont="1" applyBorder="1"/>
    <xf numFmtId="5" fontId="5" fillId="0" borderId="0" xfId="0" applyNumberFormat="1" applyFont="1" applyAlignment="1">
      <alignment horizontal="left" indent="1"/>
    </xf>
    <xf numFmtId="5" fontId="5" fillId="0" borderId="12" xfId="1" applyNumberFormat="1" applyFont="1" applyFill="1" applyBorder="1" applyAlignment="1" applyProtection="1">
      <alignment horizontal="left" indent="1"/>
      <protection locked="0"/>
    </xf>
    <xf numFmtId="0" fontId="19" fillId="0" borderId="11" xfId="0" applyFont="1" applyBorder="1"/>
    <xf numFmtId="5" fontId="8" fillId="0" borderId="0" xfId="0" applyNumberFormat="1" applyFont="1" applyAlignment="1">
      <alignment horizontal="left"/>
    </xf>
    <xf numFmtId="10" fontId="5" fillId="0" borderId="12" xfId="3" applyNumberFormat="1" applyFont="1" applyFill="1" applyBorder="1" applyAlignment="1" applyProtection="1">
      <alignment horizontal="left"/>
      <protection locked="0"/>
    </xf>
    <xf numFmtId="2" fontId="5" fillId="0" borderId="12" xfId="0" applyNumberFormat="1" applyFont="1" applyBorder="1" applyAlignment="1" applyProtection="1">
      <alignment horizontal="left" indent="1"/>
      <protection locked="0"/>
    </xf>
    <xf numFmtId="5" fontId="5" fillId="0" borderId="12" xfId="1" applyNumberFormat="1" applyFont="1" applyFill="1" applyBorder="1" applyAlignment="1" applyProtection="1">
      <alignment horizontal="left" indent="1"/>
    </xf>
    <xf numFmtId="5" fontId="5" fillId="0" borderId="13" xfId="0" applyNumberFormat="1" applyFont="1" applyBorder="1" applyAlignment="1">
      <alignment horizontal="left" indent="1"/>
    </xf>
    <xf numFmtId="5" fontId="8" fillId="0" borderId="9" xfId="0" quotePrefix="1" applyNumberFormat="1" applyFont="1" applyBorder="1"/>
    <xf numFmtId="5" fontId="5" fillId="0" borderId="11" xfId="0" applyNumberFormat="1" applyFont="1" applyBorder="1" applyAlignment="1">
      <alignment horizontal="left" indent="1"/>
    </xf>
    <xf numFmtId="17" fontId="5" fillId="0" borderId="0" xfId="0" applyNumberFormat="1" applyFont="1" applyAlignment="1">
      <alignment horizontal="left" indent="1"/>
    </xf>
    <xf numFmtId="8" fontId="5" fillId="0" borderId="11" xfId="1" applyFont="1" applyFill="1" applyBorder="1" applyAlignment="1" applyProtection="1">
      <alignment horizontal="left"/>
      <protection locked="0"/>
    </xf>
    <xf numFmtId="0" fontId="9" fillId="0" borderId="0" xfId="0" quotePrefix="1" applyFont="1" applyAlignment="1">
      <alignment horizontal="left"/>
    </xf>
    <xf numFmtId="0" fontId="11" fillId="0" borderId="0" xfId="0" applyFont="1" applyAlignment="1" applyProtection="1">
      <alignment horizontal="left"/>
      <protection locked="0"/>
    </xf>
    <xf numFmtId="6" fontId="5" fillId="0" borderId="11" xfId="1" applyNumberFormat="1" applyFont="1" applyFill="1" applyBorder="1" applyAlignment="1" applyProtection="1">
      <alignment horizontal="left" indent="1"/>
    </xf>
    <xf numFmtId="0" fontId="11" fillId="0" borderId="0" xfId="0" applyFont="1" applyProtection="1">
      <protection locked="0"/>
    </xf>
    <xf numFmtId="8" fontId="5" fillId="0" borderId="11" xfId="1" applyFont="1" applyFill="1" applyBorder="1" applyAlignment="1" applyProtection="1">
      <alignment horizontal="left" indent="1"/>
      <protection locked="0"/>
    </xf>
    <xf numFmtId="5" fontId="5" fillId="0" borderId="0" xfId="0" applyNumberFormat="1" applyFont="1" applyAlignment="1" applyProtection="1">
      <alignment horizontal="left" indent="1"/>
      <protection locked="0"/>
    </xf>
    <xf numFmtId="6" fontId="5" fillId="0" borderId="0" xfId="1" applyNumberFormat="1" applyFont="1" applyFill="1" applyBorder="1" applyAlignment="1" applyProtection="1">
      <alignment horizontal="center"/>
      <protection locked="0"/>
    </xf>
    <xf numFmtId="5" fontId="5" fillId="0" borderId="16" xfId="0" applyNumberFormat="1" applyFont="1" applyBorder="1" applyAlignment="1">
      <alignment horizontal="left" indent="1"/>
    </xf>
    <xf numFmtId="5" fontId="5" fillId="0" borderId="5" xfId="0" applyNumberFormat="1" applyFont="1" applyBorder="1" applyProtection="1">
      <protection locked="0"/>
    </xf>
    <xf numFmtId="8" fontId="5" fillId="0" borderId="5" xfId="1" applyFont="1" applyFill="1" applyBorder="1" applyProtection="1">
      <protection locked="0"/>
    </xf>
    <xf numFmtId="8" fontId="5" fillId="0" borderId="7" xfId="1" applyFont="1" applyFill="1" applyBorder="1" applyProtection="1">
      <protection locked="0"/>
    </xf>
    <xf numFmtId="0" fontId="5" fillId="0" borderId="18" xfId="0" applyFont="1" applyBorder="1"/>
    <xf numFmtId="10" fontId="5" fillId="0" borderId="1" xfId="0" applyNumberFormat="1" applyFont="1" applyBorder="1"/>
    <xf numFmtId="0" fontId="5" fillId="0" borderId="19" xfId="0" applyFont="1" applyBorder="1"/>
    <xf numFmtId="5" fontId="5" fillId="0" borderId="4" xfId="0" applyNumberFormat="1" applyFont="1" applyBorder="1"/>
    <xf numFmtId="10" fontId="5" fillId="0" borderId="11" xfId="0" applyNumberFormat="1" applyFont="1" applyBorder="1" applyProtection="1">
      <protection locked="0"/>
    </xf>
    <xf numFmtId="0" fontId="22" fillId="0" borderId="0" xfId="0" applyFont="1" applyAlignment="1">
      <alignment horizontal="center"/>
    </xf>
    <xf numFmtId="2" fontId="5" fillId="0" borderId="11" xfId="0" applyNumberFormat="1" applyFont="1" applyBorder="1" applyAlignment="1" applyProtection="1">
      <alignment horizontal="left"/>
      <protection locked="0"/>
    </xf>
    <xf numFmtId="5" fontId="8" fillId="0" borderId="0" xfId="0" applyNumberFormat="1" applyFont="1"/>
    <xf numFmtId="5" fontId="5" fillId="0" borderId="7" xfId="0" applyNumberFormat="1" applyFont="1" applyBorder="1"/>
    <xf numFmtId="5" fontId="22" fillId="0" borderId="14" xfId="0" applyNumberFormat="1" applyFont="1" applyBorder="1" applyAlignment="1">
      <alignment horizontal="left" indent="1"/>
    </xf>
    <xf numFmtId="5" fontId="5" fillId="0" borderId="15" xfId="0" applyNumberFormat="1" applyFont="1" applyBorder="1" applyProtection="1">
      <protection locked="0"/>
    </xf>
    <xf numFmtId="0" fontId="5" fillId="0" borderId="16" xfId="0" applyFont="1" applyBorder="1"/>
    <xf numFmtId="166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center"/>
    </xf>
    <xf numFmtId="5" fontId="5" fillId="0" borderId="17" xfId="0" applyNumberFormat="1" applyFont="1" applyBorder="1" applyProtection="1">
      <protection locked="0"/>
    </xf>
    <xf numFmtId="5" fontId="5" fillId="0" borderId="18" xfId="0" applyNumberFormat="1" applyFont="1" applyBorder="1" applyAlignment="1">
      <alignment horizontal="left" indent="1"/>
    </xf>
    <xf numFmtId="166" fontId="8" fillId="0" borderId="1" xfId="0" applyNumberFormat="1" applyFont="1" applyBorder="1" applyAlignment="1">
      <alignment horizontal="left"/>
    </xf>
    <xf numFmtId="164" fontId="8" fillId="0" borderId="1" xfId="0" applyNumberFormat="1" applyFont="1" applyBorder="1" applyAlignment="1">
      <alignment horizontal="center"/>
    </xf>
    <xf numFmtId="5" fontId="5" fillId="0" borderId="19" xfId="0" applyNumberFormat="1" applyFont="1" applyBorder="1" applyProtection="1">
      <protection locked="0"/>
    </xf>
    <xf numFmtId="5" fontId="5" fillId="0" borderId="14" xfId="0" applyNumberFormat="1" applyFont="1" applyBorder="1" applyAlignment="1">
      <alignment horizontal="left" indent="1"/>
    </xf>
    <xf numFmtId="5" fontId="5" fillId="0" borderId="2" xfId="0" applyNumberFormat="1" applyFont="1" applyBorder="1" applyProtection="1">
      <protection locked="0"/>
    </xf>
    <xf numFmtId="0" fontId="5" fillId="3" borderId="0" xfId="0" applyFont="1" applyFill="1"/>
    <xf numFmtId="9" fontId="5" fillId="0" borderId="0" xfId="3" applyFont="1"/>
    <xf numFmtId="5" fontId="8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5" fillId="0" borderId="0" xfId="0" applyFont="1" applyAlignment="1">
      <alignment horizontal="centerContinuous"/>
    </xf>
    <xf numFmtId="10" fontId="10" fillId="0" borderId="0" xfId="0" applyNumberFormat="1" applyFont="1" applyAlignment="1">
      <alignment horizontal="center"/>
    </xf>
    <xf numFmtId="17" fontId="8" fillId="0" borderId="0" xfId="0" applyNumberFormat="1" applyFont="1" applyAlignment="1" applyProtection="1">
      <alignment horizontal="center"/>
      <protection locked="0"/>
    </xf>
    <xf numFmtId="5" fontId="8" fillId="0" borderId="1" xfId="0" applyNumberFormat="1" applyFont="1" applyBorder="1" applyAlignment="1">
      <alignment horizontal="center"/>
    </xf>
    <xf numFmtId="17" fontId="8" fillId="0" borderId="1" xfId="0" applyNumberFormat="1" applyFont="1" applyBorder="1" applyAlignment="1" applyProtection="1">
      <alignment horizontal="center"/>
      <protection locked="0"/>
    </xf>
    <xf numFmtId="5" fontId="5" fillId="0" borderId="1" xfId="0" applyNumberFormat="1" applyFont="1" applyBorder="1" applyAlignment="1" applyProtection="1">
      <alignment horizontal="center"/>
      <protection locked="0"/>
    </xf>
    <xf numFmtId="5" fontId="5" fillId="0" borderId="1" xfId="0" applyNumberFormat="1" applyFont="1" applyBorder="1" applyAlignment="1">
      <alignment horizontal="center"/>
    </xf>
    <xf numFmtId="10" fontId="15" fillId="0" borderId="0" xfId="0" applyNumberFormat="1" applyFont="1" applyAlignment="1" applyProtection="1">
      <alignment horizontal="center"/>
      <protection locked="0"/>
    </xf>
    <xf numFmtId="10" fontId="15" fillId="0" borderId="2" xfId="0" applyNumberFormat="1" applyFont="1" applyBorder="1" applyAlignment="1" applyProtection="1">
      <alignment horizontal="center"/>
      <protection locked="0"/>
    </xf>
    <xf numFmtId="10" fontId="11" fillId="0" borderId="2" xfId="0" applyNumberFormat="1" applyFont="1" applyBorder="1" applyAlignment="1">
      <alignment horizontal="center"/>
    </xf>
    <xf numFmtId="9" fontId="5" fillId="0" borderId="0" xfId="0" applyNumberFormat="1" applyFont="1"/>
    <xf numFmtId="10" fontId="11" fillId="0" borderId="0" xfId="3" applyNumberFormat="1" applyFont="1" applyFill="1" applyProtection="1"/>
    <xf numFmtId="10" fontId="5" fillId="0" borderId="0" xfId="3" applyNumberFormat="1" applyFont="1" applyFill="1" applyProtection="1"/>
    <xf numFmtId="10" fontId="15" fillId="0" borderId="0" xfId="3" applyNumberFormat="1" applyFont="1" applyFill="1" applyAlignment="1" applyProtection="1">
      <alignment horizontal="center"/>
      <protection locked="0"/>
    </xf>
    <xf numFmtId="10" fontId="10" fillId="0" borderId="0" xfId="3" applyNumberFormat="1" applyFont="1" applyFill="1" applyAlignment="1" applyProtection="1">
      <alignment horizontal="right"/>
      <protection locked="0"/>
    </xf>
    <xf numFmtId="10" fontId="10" fillId="0" borderId="0" xfId="3" applyNumberFormat="1" applyFont="1" applyFill="1" applyAlignment="1" applyProtection="1">
      <alignment horizontal="center"/>
      <protection locked="0"/>
    </xf>
    <xf numFmtId="10" fontId="15" fillId="0" borderId="0" xfId="3" applyNumberFormat="1" applyFont="1" applyFill="1" applyBorder="1" applyProtection="1"/>
    <xf numFmtId="10" fontId="15" fillId="0" borderId="0" xfId="3" applyNumberFormat="1" applyFont="1" applyFill="1" applyProtection="1"/>
    <xf numFmtId="10" fontId="10" fillId="0" borderId="0" xfId="3" applyNumberFormat="1" applyFont="1" applyFill="1" applyAlignment="1" applyProtection="1">
      <alignment horizontal="right"/>
    </xf>
    <xf numFmtId="10" fontId="10" fillId="0" borderId="0" xfId="3" applyNumberFormat="1" applyFont="1" applyFill="1" applyProtection="1"/>
    <xf numFmtId="6" fontId="9" fillId="0" borderId="0" xfId="1" applyNumberFormat="1" applyFont="1" applyFill="1" applyProtection="1"/>
    <xf numFmtId="6" fontId="5" fillId="0" borderId="0" xfId="1" applyNumberFormat="1" applyFont="1" applyFill="1" applyProtection="1"/>
    <xf numFmtId="6" fontId="15" fillId="0" borderId="0" xfId="1" applyNumberFormat="1" applyFont="1" applyFill="1" applyProtection="1"/>
    <xf numFmtId="6" fontId="10" fillId="0" borderId="0" xfId="1" applyNumberFormat="1" applyFont="1" applyFill="1" applyAlignment="1" applyProtection="1">
      <alignment horizontal="right"/>
      <protection locked="0"/>
    </xf>
    <xf numFmtId="6" fontId="15" fillId="0" borderId="0" xfId="1" applyNumberFormat="1" applyFont="1" applyFill="1" applyBorder="1" applyProtection="1"/>
    <xf numFmtId="6" fontId="11" fillId="0" borderId="0" xfId="1" applyNumberFormat="1" applyFont="1" applyFill="1" applyProtection="1"/>
    <xf numFmtId="6" fontId="9" fillId="0" borderId="1" xfId="1" applyNumberFormat="1" applyFont="1" applyFill="1" applyBorder="1" applyProtection="1"/>
    <xf numFmtId="6" fontId="15" fillId="0" borderId="1" xfId="1" applyNumberFormat="1" applyFont="1" applyFill="1" applyBorder="1" applyProtection="1"/>
    <xf numFmtId="6" fontId="21" fillId="0" borderId="0" xfId="1" applyNumberFormat="1" applyFont="1" applyFill="1" applyAlignment="1" applyProtection="1">
      <alignment horizontal="right"/>
      <protection locked="0"/>
    </xf>
    <xf numFmtId="5" fontId="10" fillId="0" borderId="0" xfId="0" applyNumberFormat="1" applyFont="1" applyAlignment="1">
      <alignment horizontal="right"/>
    </xf>
    <xf numFmtId="10" fontId="11" fillId="0" borderId="0" xfId="0" applyNumberFormat="1" applyFont="1"/>
    <xf numFmtId="5" fontId="15" fillId="3" borderId="0" xfId="0" applyNumberFormat="1" applyFont="1" applyFill="1"/>
    <xf numFmtId="6" fontId="11" fillId="0" borderId="0" xfId="1" quotePrefix="1" applyNumberFormat="1" applyFont="1" applyFill="1" applyProtection="1"/>
    <xf numFmtId="6" fontId="15" fillId="3" borderId="0" xfId="1" applyNumberFormat="1" applyFont="1" applyFill="1" applyBorder="1" applyProtection="1"/>
    <xf numFmtId="6" fontId="11" fillId="3" borderId="0" xfId="1" applyNumberFormat="1" applyFont="1" applyFill="1" applyProtection="1"/>
    <xf numFmtId="6" fontId="5" fillId="3" borderId="0" xfId="1" applyNumberFormat="1" applyFont="1" applyFill="1"/>
    <xf numFmtId="10" fontId="11" fillId="3" borderId="0" xfId="0" applyNumberFormat="1" applyFont="1" applyFill="1"/>
    <xf numFmtId="5" fontId="11" fillId="0" borderId="0" xfId="0" quotePrefix="1" applyNumberFormat="1" applyFont="1"/>
    <xf numFmtId="6" fontId="10" fillId="0" borderId="1" xfId="1" applyNumberFormat="1" applyFont="1" applyFill="1" applyBorder="1" applyAlignment="1" applyProtection="1">
      <alignment horizontal="right"/>
      <protection locked="0"/>
    </xf>
    <xf numFmtId="5" fontId="15" fillId="0" borderId="2" xfId="0" applyNumberFormat="1" applyFont="1" applyBorder="1"/>
    <xf numFmtId="5" fontId="15" fillId="0" borderId="1" xfId="0" applyNumberFormat="1" applyFont="1" applyBorder="1"/>
    <xf numFmtId="10" fontId="15" fillId="0" borderId="0" xfId="0" applyNumberFormat="1" applyFont="1"/>
    <xf numFmtId="10" fontId="5" fillId="0" borderId="0" xfId="0" applyNumberFormat="1" applyFont="1"/>
    <xf numFmtId="10" fontId="10" fillId="0" borderId="0" xfId="0" applyNumberFormat="1" applyFont="1" applyAlignment="1">
      <alignment horizontal="right"/>
    </xf>
    <xf numFmtId="10" fontId="10" fillId="0" borderId="0" xfId="0" applyNumberFormat="1" applyFont="1"/>
    <xf numFmtId="5" fontId="11" fillId="0" borderId="0" xfId="0" applyNumberFormat="1" applyFont="1" applyAlignment="1">
      <alignment horizontal="right"/>
    </xf>
    <xf numFmtId="5" fontId="9" fillId="0" borderId="0" xfId="0" applyNumberFormat="1" applyFont="1" applyAlignment="1">
      <alignment horizontal="left"/>
    </xf>
    <xf numFmtId="5" fontId="15" fillId="0" borderId="0" xfId="0" applyNumberFormat="1" applyFont="1" applyProtection="1">
      <protection locked="0"/>
    </xf>
    <xf numFmtId="6" fontId="11" fillId="0" borderId="0" xfId="1" applyNumberFormat="1" applyFont="1" applyFill="1" applyAlignment="1" applyProtection="1">
      <alignment horizontal="left" indent="1"/>
    </xf>
    <xf numFmtId="5" fontId="11" fillId="0" borderId="0" xfId="0" applyNumberFormat="1" applyFont="1" applyAlignment="1" applyProtection="1">
      <alignment horizontal="left" indent="1"/>
      <protection locked="0"/>
    </xf>
    <xf numFmtId="0" fontId="15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5" fillId="0" borderId="2" xfId="0" applyFont="1" applyBorder="1" applyAlignment="1">
      <alignment horizontal="right"/>
    </xf>
    <xf numFmtId="5" fontId="10" fillId="0" borderId="20" xfId="0" quotePrefix="1" applyNumberFormat="1" applyFont="1" applyBorder="1" applyAlignment="1">
      <alignment horizontal="center"/>
    </xf>
    <xf numFmtId="0" fontId="27" fillId="0" borderId="0" xfId="0" applyFont="1" applyAlignment="1">
      <alignment horizontal="right"/>
    </xf>
    <xf numFmtId="6" fontId="11" fillId="0" borderId="0" xfId="1" applyNumberFormat="1" applyFont="1"/>
    <xf numFmtId="5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6" fontId="11" fillId="0" borderId="0" xfId="1" applyNumberFormat="1" applyFont="1" applyBorder="1" applyAlignment="1">
      <alignment horizontal="left" indent="1"/>
    </xf>
    <xf numFmtId="6" fontId="11" fillId="0" borderId="0" xfId="1" applyNumberFormat="1" applyFont="1" applyBorder="1"/>
    <xf numFmtId="17" fontId="11" fillId="0" borderId="0" xfId="0" applyNumberFormat="1" applyFont="1" applyAlignment="1">
      <alignment horizontal="left" indent="1"/>
    </xf>
    <xf numFmtId="6" fontId="11" fillId="0" borderId="0" xfId="0" applyNumberFormat="1" applyFont="1"/>
    <xf numFmtId="17" fontId="11" fillId="0" borderId="0" xfId="1" applyNumberFormat="1" applyFont="1" applyBorder="1" applyAlignment="1">
      <alignment horizontal="left" indent="1"/>
    </xf>
    <xf numFmtId="0" fontId="11" fillId="0" borderId="0" xfId="0" applyFont="1" applyAlignment="1">
      <alignment horizontal="left" indent="1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6" fontId="10" fillId="0" borderId="20" xfId="0" applyNumberFormat="1" applyFont="1" applyBorder="1" applyAlignment="1">
      <alignment horizontal="center"/>
    </xf>
    <xf numFmtId="17" fontId="9" fillId="0" borderId="0" xfId="0" applyNumberFormat="1" applyFont="1" applyAlignment="1">
      <alignment horizontal="center"/>
    </xf>
    <xf numFmtId="5" fontId="5" fillId="0" borderId="8" xfId="0" quotePrefix="1" applyNumberFormat="1" applyFont="1" applyBorder="1"/>
    <xf numFmtId="0" fontId="9" fillId="0" borderId="0" xfId="0" applyFont="1"/>
    <xf numFmtId="5" fontId="9" fillId="0" borderId="0" xfId="0" quotePrefix="1" applyNumberFormat="1" applyFont="1" applyAlignment="1" applyProtection="1">
      <alignment horizontal="left"/>
      <protection locked="0"/>
    </xf>
    <xf numFmtId="6" fontId="9" fillId="0" borderId="0" xfId="0" applyNumberFormat="1" applyFont="1"/>
    <xf numFmtId="5" fontId="11" fillId="0" borderId="0" xfId="1" applyNumberFormat="1" applyFont="1"/>
    <xf numFmtId="6" fontId="9" fillId="0" borderId="0" xfId="1" applyNumberFormat="1" applyFont="1"/>
    <xf numFmtId="5" fontId="10" fillId="0" borderId="20" xfId="0" applyNumberFormat="1" applyFont="1" applyBorder="1" applyAlignment="1">
      <alignment horizontal="center"/>
    </xf>
    <xf numFmtId="5" fontId="27" fillId="0" borderId="0" xfId="0" applyNumberFormat="1" applyFont="1"/>
    <xf numFmtId="0" fontId="27" fillId="0" borderId="0" xfId="0" applyFont="1"/>
    <xf numFmtId="5" fontId="9" fillId="0" borderId="0" xfId="0" applyNumberFormat="1" applyFont="1" applyAlignment="1">
      <alignment horizontal="left" indent="1"/>
    </xf>
    <xf numFmtId="5" fontId="11" fillId="0" borderId="0" xfId="0" applyNumberFormat="1" applyFont="1" applyAlignment="1">
      <alignment horizontal="left"/>
    </xf>
    <xf numFmtId="5" fontId="10" fillId="0" borderId="0" xfId="0" applyNumberFormat="1" applyFont="1" applyAlignment="1">
      <alignment horizontal="left"/>
    </xf>
    <xf numFmtId="0" fontId="10" fillId="0" borderId="0" xfId="0" applyFont="1"/>
    <xf numFmtId="6" fontId="10" fillId="0" borderId="0" xfId="0" applyNumberFormat="1" applyFont="1"/>
    <xf numFmtId="1" fontId="11" fillId="0" borderId="0" xfId="0" applyNumberFormat="1" applyFont="1"/>
    <xf numFmtId="1" fontId="9" fillId="0" borderId="0" xfId="0" applyNumberFormat="1" applyFont="1"/>
    <xf numFmtId="17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right"/>
    </xf>
    <xf numFmtId="0" fontId="13" fillId="0" borderId="0" xfId="0" applyFont="1"/>
    <xf numFmtId="0" fontId="13" fillId="2" borderId="0" xfId="0" applyFont="1" applyFill="1" applyAlignment="1">
      <alignment horizontal="right"/>
    </xf>
    <xf numFmtId="8" fontId="13" fillId="2" borderId="0" xfId="1" applyFont="1" applyFill="1"/>
    <xf numFmtId="8" fontId="13" fillId="0" borderId="0" xfId="0" applyNumberFormat="1" applyFont="1"/>
    <xf numFmtId="0" fontId="13" fillId="0" borderId="0" xfId="0" applyFont="1" applyAlignment="1">
      <alignment horizontal="right"/>
    </xf>
    <xf numFmtId="8" fontId="13" fillId="0" borderId="0" xfId="1" applyFont="1"/>
    <xf numFmtId="10" fontId="13" fillId="0" borderId="0" xfId="3" applyNumberFormat="1" applyFont="1"/>
    <xf numFmtId="0" fontId="13" fillId="2" borderId="0" xfId="0" applyFont="1" applyFill="1"/>
    <xf numFmtId="0" fontId="17" fillId="0" borderId="2" xfId="0" applyFont="1" applyBorder="1"/>
    <xf numFmtId="0" fontId="29" fillId="4" borderId="2" xfId="0" applyFont="1" applyFill="1" applyBorder="1"/>
    <xf numFmtId="0" fontId="13" fillId="0" borderId="2" xfId="0" applyFont="1" applyBorder="1"/>
    <xf numFmtId="0" fontId="17" fillId="0" borderId="0" xfId="0" applyFont="1"/>
    <xf numFmtId="17" fontId="13" fillId="0" borderId="0" xfId="0" applyNumberFormat="1" applyFont="1" applyAlignment="1">
      <alignment horizontal="center"/>
    </xf>
    <xf numFmtId="0" fontId="17" fillId="0" borderId="0" xfId="0" applyFont="1" applyAlignment="1">
      <alignment horizontal="right"/>
    </xf>
    <xf numFmtId="8" fontId="17" fillId="0" borderId="0" xfId="1" applyFont="1"/>
    <xf numFmtId="10" fontId="17" fillId="0" borderId="0" xfId="3" applyNumberFormat="1" applyFont="1"/>
    <xf numFmtId="17" fontId="30" fillId="0" borderId="0" xfId="0" applyNumberFormat="1" applyFont="1"/>
    <xf numFmtId="6" fontId="17" fillId="0" borderId="0" xfId="0" applyNumberFormat="1" applyFont="1"/>
    <xf numFmtId="5" fontId="17" fillId="0" borderId="0" xfId="0" applyNumberFormat="1" applyFont="1"/>
    <xf numFmtId="10" fontId="10" fillId="0" borderId="0" xfId="0" applyNumberFormat="1" applyFont="1" applyAlignment="1" applyProtection="1">
      <alignment horizontal="center"/>
      <protection locked="0"/>
    </xf>
    <xf numFmtId="6" fontId="10" fillId="0" borderId="0" xfId="1" applyNumberFormat="1" applyFont="1" applyFill="1" applyProtection="1"/>
    <xf numFmtId="6" fontId="10" fillId="0" borderId="0" xfId="1" applyNumberFormat="1" applyFont="1" applyFill="1" applyBorder="1" applyProtection="1"/>
    <xf numFmtId="0" fontId="8" fillId="0" borderId="0" xfId="0" applyFont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2" xfId="0" applyFont="1" applyBorder="1"/>
    <xf numFmtId="6" fontId="9" fillId="0" borderId="0" xfId="1" applyNumberFormat="1" applyFont="1" applyBorder="1" applyAlignment="1">
      <alignment horizontal="left" indent="1"/>
    </xf>
    <xf numFmtId="17" fontId="9" fillId="0" borderId="0" xfId="0" applyNumberFormat="1" applyFont="1" applyAlignment="1">
      <alignment horizontal="left" indent="1"/>
    </xf>
    <xf numFmtId="17" fontId="9" fillId="0" borderId="0" xfId="1" applyNumberFormat="1" applyFont="1" applyBorder="1" applyAlignment="1">
      <alignment horizontal="left" indent="1"/>
    </xf>
    <xf numFmtId="6" fontId="8" fillId="0" borderId="0" xfId="1" applyNumberFormat="1" applyFont="1"/>
    <xf numFmtId="10" fontId="9" fillId="0" borderId="0" xfId="0" applyNumberFormat="1" applyFont="1"/>
    <xf numFmtId="10" fontId="8" fillId="0" borderId="0" xfId="0" applyNumberFormat="1" applyFont="1"/>
    <xf numFmtId="17" fontId="10" fillId="0" borderId="1" xfId="0" applyNumberFormat="1" applyFont="1" applyBorder="1" applyAlignment="1" applyProtection="1">
      <alignment horizontal="center"/>
      <protection locked="0"/>
    </xf>
    <xf numFmtId="17" fontId="10" fillId="0" borderId="1" xfId="0" applyNumberFormat="1" applyFont="1" applyBorder="1" applyAlignment="1" applyProtection="1">
      <alignment horizontal="left"/>
      <protection locked="0"/>
    </xf>
    <xf numFmtId="17" fontId="10" fillId="0" borderId="1" xfId="0" applyNumberFormat="1" applyFont="1" applyBorder="1" applyAlignment="1">
      <alignment horizontal="center"/>
    </xf>
    <xf numFmtId="5" fontId="1" fillId="0" borderId="0" xfId="0" applyNumberFormat="1" applyFont="1"/>
    <xf numFmtId="0" fontId="1" fillId="0" borderId="0" xfId="0" applyFont="1"/>
    <xf numFmtId="5" fontId="1" fillId="0" borderId="2" xfId="0" applyNumberFormat="1" applyFont="1" applyBorder="1"/>
    <xf numFmtId="5" fontId="0" fillId="0" borderId="0" xfId="0" applyNumberFormat="1"/>
    <xf numFmtId="5" fontId="0" fillId="0" borderId="2" xfId="0" applyNumberFormat="1" applyBorder="1"/>
    <xf numFmtId="0" fontId="18" fillId="0" borderId="9" xfId="0" applyFont="1" applyBorder="1"/>
    <xf numFmtId="0" fontId="18" fillId="0" borderId="3" xfId="0" applyFont="1" applyBorder="1"/>
    <xf numFmtId="0" fontId="19" fillId="0" borderId="3" xfId="0" applyFont="1" applyBorder="1"/>
    <xf numFmtId="0" fontId="22" fillId="0" borderId="6" xfId="0" applyFont="1" applyBorder="1"/>
    <xf numFmtId="0" fontId="19" fillId="0" borderId="0" xfId="0" applyFont="1"/>
    <xf numFmtId="6" fontId="5" fillId="0" borderId="11" xfId="1" applyNumberFormat="1" applyFont="1" applyBorder="1"/>
    <xf numFmtId="0" fontId="5" fillId="0" borderId="6" xfId="0" applyFont="1" applyBorder="1" applyAlignment="1">
      <alignment horizontal="right"/>
    </xf>
    <xf numFmtId="10" fontId="5" fillId="0" borderId="0" xfId="3" applyNumberFormat="1" applyFont="1" applyBorder="1"/>
    <xf numFmtId="10" fontId="5" fillId="0" borderId="11" xfId="0" applyNumberFormat="1" applyFont="1" applyBorder="1"/>
    <xf numFmtId="10" fontId="5" fillId="0" borderId="5" xfId="3" applyNumberFormat="1" applyFont="1" applyBorder="1"/>
    <xf numFmtId="10" fontId="5" fillId="0" borderId="7" xfId="0" applyNumberFormat="1" applyFont="1" applyBorder="1"/>
    <xf numFmtId="10" fontId="5" fillId="0" borderId="5" xfId="0" applyNumberFormat="1" applyFont="1" applyBorder="1"/>
    <xf numFmtId="0" fontId="8" fillId="0" borderId="6" xfId="0" applyFont="1" applyBorder="1"/>
    <xf numFmtId="166" fontId="8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6" fontId="5" fillId="0" borderId="0" xfId="1" applyNumberFormat="1" applyFont="1" applyFill="1"/>
    <xf numFmtId="6" fontId="11" fillId="0" borderId="0" xfId="1" applyNumberFormat="1" applyFont="1" applyFill="1"/>
    <xf numFmtId="10" fontId="5" fillId="0" borderId="0" xfId="3" applyNumberFormat="1" applyFont="1" applyFill="1"/>
    <xf numFmtId="164" fontId="9" fillId="0" borderId="0" xfId="0" applyNumberFormat="1" applyFont="1" applyAlignment="1">
      <alignment horizontal="right"/>
    </xf>
    <xf numFmtId="6" fontId="8" fillId="7" borderId="22" xfId="1" applyNumberFormat="1" applyFont="1" applyFill="1" applyBorder="1" applyAlignment="1" applyProtection="1">
      <alignment horizontal="center"/>
      <protection locked="0"/>
    </xf>
    <xf numFmtId="5" fontId="11" fillId="2" borderId="20" xfId="0" applyNumberFormat="1" applyFont="1" applyFill="1" applyBorder="1" applyAlignment="1" applyProtection="1">
      <alignment horizontal="center"/>
      <protection locked="0"/>
    </xf>
    <xf numFmtId="6" fontId="11" fillId="2" borderId="20" xfId="0" applyNumberFormat="1" applyFont="1" applyFill="1" applyBorder="1" applyAlignment="1" applyProtection="1">
      <alignment horizontal="center"/>
      <protection locked="0"/>
    </xf>
    <xf numFmtId="10" fontId="11" fillId="2" borderId="20" xfId="3" applyNumberFormat="1" applyFont="1" applyFill="1" applyBorder="1" applyAlignment="1" applyProtection="1">
      <alignment horizontal="center"/>
      <protection locked="0"/>
    </xf>
    <xf numFmtId="10" fontId="5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5" fontId="8" fillId="0" borderId="16" xfId="0" applyNumberFormat="1" applyFont="1" applyBorder="1" applyAlignment="1">
      <alignment horizontal="left" indent="1"/>
    </xf>
    <xf numFmtId="6" fontId="5" fillId="0" borderId="0" xfId="1" applyNumberFormat="1" applyFont="1" applyBorder="1"/>
    <xf numFmtId="164" fontId="9" fillId="0" borderId="0" xfId="0" applyNumberFormat="1" applyFont="1"/>
    <xf numFmtId="5" fontId="9" fillId="7" borderId="22" xfId="0" applyNumberFormat="1" applyFont="1" applyFill="1" applyBorder="1" applyAlignment="1">
      <alignment horizontal="right" vertical="center"/>
    </xf>
    <xf numFmtId="5" fontId="9" fillId="7" borderId="22" xfId="0" applyNumberFormat="1" applyFont="1" applyFill="1" applyBorder="1" applyAlignment="1">
      <alignment horizontal="right"/>
    </xf>
    <xf numFmtId="6" fontId="9" fillId="0" borderId="20" xfId="0" applyNumberFormat="1" applyFont="1" applyBorder="1"/>
    <xf numFmtId="5" fontId="9" fillId="0" borderId="20" xfId="0" applyNumberFormat="1" applyFont="1" applyBorder="1"/>
    <xf numFmtId="0" fontId="9" fillId="0" borderId="20" xfId="0" applyFont="1" applyBorder="1" applyAlignment="1">
      <alignment horizontal="right"/>
    </xf>
    <xf numFmtId="10" fontId="5" fillId="0" borderId="11" xfId="3" applyNumberFormat="1" applyFont="1" applyBorder="1"/>
    <xf numFmtId="10" fontId="5" fillId="7" borderId="20" xfId="3" applyNumberFormat="1" applyFont="1" applyFill="1" applyBorder="1"/>
    <xf numFmtId="10" fontId="8" fillId="7" borderId="29" xfId="0" applyNumberFormat="1" applyFont="1" applyFill="1" applyBorder="1"/>
    <xf numFmtId="5" fontId="5" fillId="0" borderId="6" xfId="0" applyNumberFormat="1" applyFont="1" applyBorder="1" applyAlignment="1">
      <alignment horizontal="left"/>
    </xf>
    <xf numFmtId="5" fontId="24" fillId="0" borderId="0" xfId="0" applyNumberFormat="1" applyFont="1"/>
    <xf numFmtId="10" fontId="24" fillId="0" borderId="0" xfId="3" applyNumberFormat="1" applyFont="1" applyFill="1" applyAlignment="1" applyProtection="1">
      <alignment horizontal="center"/>
      <protection locked="0"/>
    </xf>
    <xf numFmtId="5" fontId="31" fillId="0" borderId="0" xfId="0" applyNumberFormat="1" applyFont="1" applyAlignment="1">
      <alignment horizontal="right"/>
    </xf>
    <xf numFmtId="5" fontId="31" fillId="0" borderId="0" xfId="0" applyNumberFormat="1" applyFont="1"/>
    <xf numFmtId="10" fontId="24" fillId="0" borderId="0" xfId="0" applyNumberFormat="1" applyFont="1"/>
    <xf numFmtId="6" fontId="31" fillId="0" borderId="0" xfId="1" applyNumberFormat="1" applyFont="1" applyFill="1" applyAlignment="1" applyProtection="1">
      <alignment horizontal="right"/>
      <protection locked="0"/>
    </xf>
    <xf numFmtId="10" fontId="31" fillId="0" borderId="0" xfId="3" applyNumberFormat="1" applyFont="1" applyFill="1" applyProtection="1"/>
    <xf numFmtId="166" fontId="5" fillId="0" borderId="0" xfId="0" applyNumberFormat="1" applyFont="1" applyAlignment="1">
      <alignment horizontal="left" indent="1"/>
    </xf>
    <xf numFmtId="37" fontId="26" fillId="0" borderId="0" xfId="0" applyNumberFormat="1" applyFont="1" applyAlignment="1">
      <alignment horizontal="right"/>
    </xf>
    <xf numFmtId="0" fontId="22" fillId="0" borderId="16" xfId="0" applyFont="1" applyBorder="1" applyAlignment="1">
      <alignment horizontal="center"/>
    </xf>
    <xf numFmtId="10" fontId="8" fillId="0" borderId="0" xfId="3" applyNumberFormat="1" applyFont="1" applyFill="1" applyBorder="1" applyAlignment="1" applyProtection="1">
      <alignment horizontal="center"/>
    </xf>
    <xf numFmtId="0" fontId="20" fillId="0" borderId="16" xfId="0" applyFont="1" applyBorder="1"/>
    <xf numFmtId="0" fontId="20" fillId="0" borderId="14" xfId="0" applyFont="1" applyBorder="1"/>
    <xf numFmtId="1" fontId="8" fillId="0" borderId="0" xfId="0" applyNumberFormat="1" applyFont="1" applyAlignment="1">
      <alignment horizontal="center"/>
    </xf>
    <xf numFmtId="5" fontId="26" fillId="0" borderId="6" xfId="0" applyNumberFormat="1" applyFont="1" applyBorder="1" applyAlignment="1">
      <alignment horizontal="left" indent="1"/>
    </xf>
    <xf numFmtId="5" fontId="5" fillId="6" borderId="0" xfId="0" applyNumberFormat="1" applyFont="1" applyFill="1" applyAlignment="1">
      <alignment horizontal="left"/>
    </xf>
    <xf numFmtId="5" fontId="10" fillId="8" borderId="0" xfId="0" applyNumberFormat="1" applyFont="1" applyFill="1"/>
    <xf numFmtId="5" fontId="5" fillId="8" borderId="0" xfId="0" applyNumberFormat="1" applyFont="1" applyFill="1"/>
    <xf numFmtId="5" fontId="15" fillId="8" borderId="0" xfId="0" applyNumberFormat="1" applyFont="1" applyFill="1"/>
    <xf numFmtId="6" fontId="10" fillId="8" borderId="0" xfId="1" applyNumberFormat="1" applyFont="1" applyFill="1" applyAlignment="1" applyProtection="1">
      <alignment horizontal="right"/>
      <protection locked="0"/>
    </xf>
    <xf numFmtId="5" fontId="9" fillId="8" borderId="0" xfId="0" applyNumberFormat="1" applyFont="1" applyFill="1"/>
    <xf numFmtId="5" fontId="10" fillId="8" borderId="8" xfId="0" applyNumberFormat="1" applyFont="1" applyFill="1" applyBorder="1"/>
    <xf numFmtId="6" fontId="10" fillId="8" borderId="8" xfId="1" applyNumberFormat="1" applyFont="1" applyFill="1" applyBorder="1" applyAlignment="1" applyProtection="1">
      <alignment horizontal="right"/>
      <protection locked="0"/>
    </xf>
    <xf numFmtId="6" fontId="9" fillId="8" borderId="0" xfId="0" applyNumberFormat="1" applyFont="1" applyFill="1"/>
    <xf numFmtId="6" fontId="5" fillId="8" borderId="0" xfId="0" applyNumberFormat="1" applyFont="1" applyFill="1"/>
    <xf numFmtId="6" fontId="11" fillId="8" borderId="0" xfId="0" applyNumberFormat="1" applyFont="1" applyFill="1"/>
    <xf numFmtId="6" fontId="9" fillId="8" borderId="0" xfId="0" applyNumberFormat="1" applyFont="1" applyFill="1" applyAlignment="1">
      <alignment horizontal="right"/>
    </xf>
    <xf numFmtId="5" fontId="9" fillId="8" borderId="0" xfId="0" applyNumberFormat="1" applyFont="1" applyFill="1" applyAlignment="1">
      <alignment horizontal="left" indent="1"/>
    </xf>
    <xf numFmtId="6" fontId="9" fillId="8" borderId="0" xfId="1" applyNumberFormat="1" applyFont="1" applyFill="1"/>
    <xf numFmtId="5" fontId="11" fillId="8" borderId="0" xfId="0" applyNumberFormat="1" applyFont="1" applyFill="1"/>
    <xf numFmtId="0" fontId="9" fillId="8" borderId="0" xfId="0" applyFont="1" applyFill="1"/>
    <xf numFmtId="0" fontId="8" fillId="8" borderId="0" xfId="0" applyFont="1" applyFill="1"/>
    <xf numFmtId="1" fontId="9" fillId="8" borderId="0" xfId="0" applyNumberFormat="1" applyFont="1" applyFill="1"/>
    <xf numFmtId="5" fontId="33" fillId="0" borderId="0" xfId="0" applyNumberFormat="1" applyFont="1" applyAlignment="1" applyProtection="1">
      <alignment horizontal="left" indent="3"/>
      <protection locked="0"/>
    </xf>
    <xf numFmtId="10" fontId="5" fillId="6" borderId="20" xfId="3" applyNumberFormat="1" applyFont="1" applyFill="1" applyBorder="1" applyAlignment="1" applyProtection="1">
      <alignment horizontal="center"/>
      <protection locked="0"/>
    </xf>
    <xf numFmtId="6" fontId="5" fillId="6" borderId="20" xfId="1" applyNumberFormat="1" applyFont="1" applyFill="1" applyBorder="1" applyAlignment="1" applyProtection="1">
      <alignment horizontal="center"/>
      <protection locked="0"/>
    </xf>
    <xf numFmtId="37" fontId="5" fillId="6" borderId="20" xfId="0" applyNumberFormat="1" applyFont="1" applyFill="1" applyBorder="1" applyAlignment="1" applyProtection="1">
      <alignment horizontal="center"/>
      <protection locked="0"/>
    </xf>
    <xf numFmtId="170" fontId="10" fillId="0" borderId="1" xfId="0" applyNumberFormat="1" applyFont="1" applyBorder="1" applyAlignment="1" applyProtection="1">
      <alignment horizontal="center"/>
      <protection locked="0"/>
    </xf>
    <xf numFmtId="5" fontId="34" fillId="0" borderId="0" xfId="0" applyNumberFormat="1" applyFont="1" applyAlignment="1">
      <alignment horizontal="center"/>
    </xf>
    <xf numFmtId="168" fontId="34" fillId="0" borderId="0" xfId="0" applyNumberFormat="1" applyFont="1" applyAlignment="1">
      <alignment horizontal="center"/>
    </xf>
    <xf numFmtId="10" fontId="34" fillId="0" borderId="0" xfId="0" applyNumberFormat="1" applyFont="1" applyAlignment="1">
      <alignment horizontal="center"/>
    </xf>
    <xf numFmtId="5" fontId="35" fillId="0" borderId="0" xfId="0" applyNumberFormat="1" applyFont="1"/>
    <xf numFmtId="5" fontId="36" fillId="0" borderId="1" xfId="0" applyNumberFormat="1" applyFont="1" applyBorder="1" applyAlignment="1">
      <alignment horizontal="center"/>
    </xf>
    <xf numFmtId="10" fontId="5" fillId="0" borderId="0" xfId="3" applyNumberFormat="1" applyFont="1" applyFill="1" applyAlignment="1" applyProtection="1">
      <alignment horizontal="center"/>
      <protection locked="0"/>
    </xf>
    <xf numFmtId="37" fontId="37" fillId="0" borderId="0" xfId="0" applyNumberFormat="1" applyFont="1" applyAlignment="1">
      <alignment horizontal="right"/>
    </xf>
    <xf numFmtId="0" fontId="37" fillId="0" borderId="0" xfId="0" applyFont="1" applyProtection="1">
      <protection locked="0"/>
    </xf>
    <xf numFmtId="0" fontId="37" fillId="0" borderId="0" xfId="0" applyFont="1" applyAlignment="1" applyProtection="1">
      <alignment horizontal="left"/>
      <protection locked="0"/>
    </xf>
    <xf numFmtId="5" fontId="38" fillId="0" borderId="0" xfId="0" applyNumberFormat="1" applyFont="1" applyAlignment="1">
      <alignment horizontal="right"/>
    </xf>
    <xf numFmtId="5" fontId="37" fillId="0" borderId="0" xfId="0" applyNumberFormat="1" applyFont="1"/>
    <xf numFmtId="0" fontId="37" fillId="0" borderId="0" xfId="0" applyFont="1"/>
    <xf numFmtId="5" fontId="39" fillId="0" borderId="0" xfId="0" applyNumberFormat="1" applyFont="1"/>
    <xf numFmtId="9" fontId="5" fillId="6" borderId="20" xfId="3" applyFont="1" applyFill="1" applyBorder="1" applyAlignment="1" applyProtection="1">
      <alignment horizontal="center"/>
      <protection locked="0"/>
    </xf>
    <xf numFmtId="5" fontId="5" fillId="6" borderId="20" xfId="1" applyNumberFormat="1" applyFont="1" applyFill="1" applyBorder="1" applyAlignment="1" applyProtection="1">
      <alignment horizontal="center"/>
      <protection locked="0"/>
    </xf>
    <xf numFmtId="1" fontId="5" fillId="6" borderId="20" xfId="0" applyNumberFormat="1" applyFont="1" applyFill="1" applyBorder="1" applyAlignment="1" applyProtection="1">
      <alignment horizontal="center"/>
      <protection locked="0"/>
    </xf>
    <xf numFmtId="5" fontId="9" fillId="0" borderId="6" xfId="0" applyNumberFormat="1" applyFont="1" applyBorder="1" applyAlignment="1">
      <alignment horizontal="left" indent="1"/>
    </xf>
    <xf numFmtId="0" fontId="8" fillId="0" borderId="6" xfId="0" applyFont="1" applyBorder="1" applyAlignment="1">
      <alignment horizontal="right"/>
    </xf>
    <xf numFmtId="0" fontId="5" fillId="0" borderId="34" xfId="0" applyFont="1" applyBorder="1"/>
    <xf numFmtId="0" fontId="5" fillId="0" borderId="35" xfId="0" applyFont="1" applyBorder="1"/>
    <xf numFmtId="0" fontId="5" fillId="0" borderId="36" xfId="0" applyFont="1" applyBorder="1"/>
    <xf numFmtId="171" fontId="9" fillId="0" borderId="0" xfId="0" applyNumberFormat="1" applyFont="1" applyAlignment="1">
      <alignment horizontal="center"/>
    </xf>
    <xf numFmtId="0" fontId="15" fillId="0" borderId="0" xfId="0" quotePrefix="1" applyFont="1" applyAlignment="1">
      <alignment wrapText="1"/>
    </xf>
    <xf numFmtId="5" fontId="10" fillId="7" borderId="22" xfId="0" applyNumberFormat="1" applyFont="1" applyFill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7" borderId="25" xfId="0" applyFont="1" applyFill="1" applyBorder="1" applyAlignment="1">
      <alignment horizontal="center"/>
    </xf>
    <xf numFmtId="5" fontId="5" fillId="0" borderId="6" xfId="0" applyNumberFormat="1" applyFont="1" applyBorder="1" applyProtection="1">
      <protection locked="0"/>
    </xf>
    <xf numFmtId="5" fontId="5" fillId="0" borderId="37" xfId="1" applyNumberFormat="1" applyFont="1" applyFill="1" applyBorder="1" applyProtection="1"/>
    <xf numFmtId="6" fontId="8" fillId="7" borderId="24" xfId="1" applyNumberFormat="1" applyFont="1" applyFill="1" applyBorder="1" applyAlignment="1" applyProtection="1">
      <alignment horizontal="center"/>
      <protection locked="0"/>
    </xf>
    <xf numFmtId="6" fontId="8" fillId="6" borderId="20" xfId="1" applyNumberFormat="1" applyFont="1" applyFill="1" applyBorder="1" applyAlignment="1" applyProtection="1">
      <alignment horizontal="center"/>
      <protection locked="0"/>
    </xf>
    <xf numFmtId="6" fontId="8" fillId="11" borderId="26" xfId="0" applyNumberFormat="1" applyFont="1" applyFill="1" applyBorder="1"/>
    <xf numFmtId="6" fontId="8" fillId="11" borderId="27" xfId="0" applyNumberFormat="1" applyFont="1" applyFill="1" applyBorder="1"/>
    <xf numFmtId="10" fontId="8" fillId="11" borderId="26" xfId="0" applyNumberFormat="1" applyFont="1" applyFill="1" applyBorder="1"/>
    <xf numFmtId="10" fontId="8" fillId="11" borderId="27" xfId="0" applyNumberFormat="1" applyFont="1" applyFill="1" applyBorder="1"/>
    <xf numFmtId="10" fontId="8" fillId="11" borderId="28" xfId="0" applyNumberFormat="1" applyFont="1" applyFill="1" applyBorder="1"/>
    <xf numFmtId="10" fontId="8" fillId="7" borderId="23" xfId="0" applyNumberFormat="1" applyFont="1" applyFill="1" applyBorder="1"/>
    <xf numFmtId="6" fontId="8" fillId="7" borderId="24" xfId="0" applyNumberFormat="1" applyFont="1" applyFill="1" applyBorder="1"/>
    <xf numFmtId="6" fontId="5" fillId="0" borderId="2" xfId="1" applyNumberFormat="1" applyFont="1" applyFill="1" applyBorder="1" applyAlignment="1" applyProtection="1">
      <alignment horizontal="center"/>
    </xf>
    <xf numFmtId="0" fontId="5" fillId="0" borderId="34" xfId="0" applyFont="1" applyBorder="1" applyAlignment="1">
      <alignment horizontal="center"/>
    </xf>
    <xf numFmtId="6" fontId="8" fillId="7" borderId="20" xfId="1" applyNumberFormat="1" applyFont="1" applyFill="1" applyBorder="1" applyAlignment="1" applyProtection="1">
      <alignment horizontal="center"/>
    </xf>
    <xf numFmtId="1" fontId="8" fillId="7" borderId="20" xfId="3" applyNumberFormat="1" applyFont="1" applyFill="1" applyBorder="1" applyAlignment="1" applyProtection="1">
      <alignment horizontal="center"/>
    </xf>
    <xf numFmtId="8" fontId="8" fillId="7" borderId="20" xfId="1" applyFont="1" applyFill="1" applyBorder="1" applyAlignment="1" applyProtection="1">
      <alignment horizontal="center"/>
    </xf>
    <xf numFmtId="5" fontId="8" fillId="7" borderId="20" xfId="1" applyNumberFormat="1" applyFont="1" applyFill="1" applyBorder="1" applyAlignment="1" applyProtection="1">
      <alignment horizontal="center"/>
    </xf>
    <xf numFmtId="6" fontId="8" fillId="7" borderId="20" xfId="1" applyNumberFormat="1" applyFont="1" applyFill="1" applyBorder="1" applyAlignment="1" applyProtection="1">
      <alignment horizontal="center"/>
      <protection locked="0"/>
    </xf>
    <xf numFmtId="5" fontId="8" fillId="7" borderId="20" xfId="0" applyNumberFormat="1" applyFont="1" applyFill="1" applyBorder="1" applyAlignment="1">
      <alignment horizontal="center"/>
    </xf>
    <xf numFmtId="169" fontId="5" fillId="2" borderId="20" xfId="3" applyNumberFormat="1" applyFont="1" applyFill="1" applyBorder="1" applyAlignment="1" applyProtection="1">
      <alignment horizontal="center"/>
      <protection locked="0"/>
    </xf>
    <xf numFmtId="5" fontId="5" fillId="0" borderId="20" xfId="0" applyNumberFormat="1" applyFont="1" applyBorder="1" applyAlignment="1" applyProtection="1">
      <alignment horizontal="center"/>
      <protection locked="0"/>
    </xf>
    <xf numFmtId="169" fontId="8" fillId="7" borderId="20" xfId="0" applyNumberFormat="1" applyFont="1" applyFill="1" applyBorder="1" applyAlignment="1" applyProtection="1">
      <alignment horizontal="center"/>
      <protection locked="0"/>
    </xf>
    <xf numFmtId="5" fontId="5" fillId="0" borderId="32" xfId="0" applyNumberFormat="1" applyFont="1" applyBorder="1" applyAlignment="1" applyProtection="1">
      <alignment horizontal="center"/>
      <protection locked="0"/>
    </xf>
    <xf numFmtId="5" fontId="5" fillId="0" borderId="19" xfId="0" applyNumberFormat="1" applyFont="1" applyBorder="1" applyAlignment="1" applyProtection="1">
      <alignment horizontal="center"/>
      <protection locked="0"/>
    </xf>
    <xf numFmtId="0" fontId="5" fillId="6" borderId="20" xfId="0" applyFont="1" applyFill="1" applyBorder="1" applyAlignment="1" applyProtection="1">
      <alignment horizontal="center"/>
      <protection locked="0"/>
    </xf>
    <xf numFmtId="10" fontId="5" fillId="2" borderId="20" xfId="0" applyNumberFormat="1" applyFont="1" applyFill="1" applyBorder="1" applyAlignment="1" applyProtection="1">
      <alignment horizontal="left" indent="3"/>
      <protection locked="0"/>
    </xf>
    <xf numFmtId="6" fontId="8" fillId="7" borderId="33" xfId="0" applyNumberFormat="1" applyFont="1" applyFill="1" applyBorder="1"/>
    <xf numFmtId="6" fontId="8" fillId="7" borderId="26" xfId="0" applyNumberFormat="1" applyFont="1" applyFill="1" applyBorder="1"/>
    <xf numFmtId="6" fontId="8" fillId="7" borderId="27" xfId="0" applyNumberFormat="1" applyFont="1" applyFill="1" applyBorder="1"/>
    <xf numFmtId="6" fontId="8" fillId="7" borderId="28" xfId="0" applyNumberFormat="1" applyFont="1" applyFill="1" applyBorder="1"/>
    <xf numFmtId="6" fontId="8" fillId="7" borderId="22" xfId="0" applyNumberFormat="1" applyFont="1" applyFill="1" applyBorder="1"/>
    <xf numFmtId="10" fontId="8" fillId="7" borderId="26" xfId="3" applyNumberFormat="1" applyFont="1" applyFill="1" applyBorder="1"/>
    <xf numFmtId="6" fontId="8" fillId="7" borderId="9" xfId="0" applyNumberFormat="1" applyFont="1" applyFill="1" applyBorder="1"/>
    <xf numFmtId="10" fontId="8" fillId="7" borderId="27" xfId="3" applyNumberFormat="1" applyFont="1" applyFill="1" applyBorder="1"/>
    <xf numFmtId="6" fontId="8" fillId="7" borderId="6" xfId="0" applyNumberFormat="1" applyFont="1" applyFill="1" applyBorder="1"/>
    <xf numFmtId="10" fontId="8" fillId="7" borderId="28" xfId="3" applyNumberFormat="1" applyFont="1" applyFill="1" applyBorder="1"/>
    <xf numFmtId="6" fontId="8" fillId="7" borderId="13" xfId="0" applyNumberFormat="1" applyFont="1" applyFill="1" applyBorder="1"/>
    <xf numFmtId="0" fontId="8" fillId="7" borderId="23" xfId="0" applyFont="1" applyFill="1" applyBorder="1"/>
    <xf numFmtId="10" fontId="5" fillId="7" borderId="20" xfId="0" applyNumberFormat="1" applyFont="1" applyFill="1" applyBorder="1"/>
    <xf numFmtId="10" fontId="8" fillId="7" borderId="20" xfId="0" applyNumberFormat="1" applyFont="1" applyFill="1" applyBorder="1"/>
    <xf numFmtId="10" fontId="8" fillId="7" borderId="20" xfId="3" applyNumberFormat="1" applyFont="1" applyFill="1" applyBorder="1"/>
    <xf numFmtId="9" fontId="43" fillId="7" borderId="21" xfId="3" applyFont="1" applyFill="1" applyBorder="1" applyAlignment="1">
      <alignment horizontal="center" vertical="top" wrapText="1" readingOrder="1"/>
    </xf>
    <xf numFmtId="0" fontId="8" fillId="7" borderId="25" xfId="0" applyFont="1" applyFill="1" applyBorder="1"/>
    <xf numFmtId="0" fontId="22" fillId="7" borderId="20" xfId="0" applyFont="1" applyFill="1" applyBorder="1"/>
    <xf numFmtId="10" fontId="8" fillId="7" borderId="20" xfId="2" applyNumberFormat="1" applyFont="1" applyFill="1" applyBorder="1" applyAlignment="1">
      <alignment horizontal="center"/>
    </xf>
    <xf numFmtId="10" fontId="8" fillId="7" borderId="20" xfId="3" applyNumberFormat="1" applyFont="1" applyFill="1" applyBorder="1" applyAlignment="1" applyProtection="1">
      <alignment horizontal="center"/>
    </xf>
    <xf numFmtId="10" fontId="8" fillId="7" borderId="20" xfId="3" applyNumberFormat="1" applyFont="1" applyFill="1" applyBorder="1" applyAlignment="1">
      <alignment horizontal="center"/>
    </xf>
    <xf numFmtId="5" fontId="42" fillId="0" borderId="34" xfId="0" applyNumberFormat="1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6" xfId="0" applyFont="1" applyBorder="1" applyAlignment="1">
      <alignment wrapText="1"/>
    </xf>
    <xf numFmtId="171" fontId="42" fillId="0" borderId="16" xfId="0" applyNumberFormat="1" applyFont="1" applyBorder="1" applyAlignment="1">
      <alignment horizontal="left" indent="1"/>
    </xf>
    <xf numFmtId="166" fontId="42" fillId="0" borderId="16" xfId="0" applyNumberFormat="1" applyFont="1" applyBorder="1"/>
    <xf numFmtId="166" fontId="44" fillId="0" borderId="16" xfId="0" applyNumberFormat="1" applyFont="1" applyBorder="1" applyAlignment="1">
      <alignment horizontal="center"/>
    </xf>
    <xf numFmtId="166" fontId="42" fillId="0" borderId="16" xfId="0" applyNumberFormat="1" applyFont="1" applyBorder="1" applyAlignment="1">
      <alignment horizontal="left" indent="1"/>
    </xf>
    <xf numFmtId="9" fontId="9" fillId="7" borderId="9" xfId="0" applyNumberFormat="1" applyFont="1" applyFill="1" applyBorder="1"/>
    <xf numFmtId="9" fontId="9" fillId="7" borderId="3" xfId="0" applyNumberFormat="1" applyFont="1" applyFill="1" applyBorder="1"/>
    <xf numFmtId="9" fontId="9" fillId="7" borderId="6" xfId="0" applyNumberFormat="1" applyFont="1" applyFill="1" applyBorder="1"/>
    <xf numFmtId="9" fontId="9" fillId="7" borderId="0" xfId="0" applyNumberFormat="1" applyFont="1" applyFill="1"/>
    <xf numFmtId="9" fontId="9" fillId="7" borderId="35" xfId="0" applyNumberFormat="1" applyFont="1" applyFill="1" applyBorder="1"/>
    <xf numFmtId="9" fontId="9" fillId="7" borderId="5" xfId="0" applyNumberFormat="1" applyFont="1" applyFill="1" applyBorder="1"/>
    <xf numFmtId="1" fontId="41" fillId="7" borderId="9" xfId="0" applyNumberFormat="1" applyFont="1" applyFill="1" applyBorder="1"/>
    <xf numFmtId="1" fontId="41" fillId="7" borderId="26" xfId="0" applyNumberFormat="1" applyFont="1" applyFill="1" applyBorder="1"/>
    <xf numFmtId="1" fontId="41" fillId="7" borderId="6" xfId="0" applyNumberFormat="1" applyFont="1" applyFill="1" applyBorder="1"/>
    <xf numFmtId="1" fontId="41" fillId="7" borderId="27" xfId="0" applyNumberFormat="1" applyFont="1" applyFill="1" applyBorder="1"/>
    <xf numFmtId="1" fontId="41" fillId="7" borderId="13" xfId="0" applyNumberFormat="1" applyFont="1" applyFill="1" applyBorder="1"/>
    <xf numFmtId="1" fontId="41" fillId="7" borderId="28" xfId="0" applyNumberFormat="1" applyFont="1" applyFill="1" applyBorder="1"/>
    <xf numFmtId="0" fontId="16" fillId="7" borderId="22" xfId="0" applyFont="1" applyFill="1" applyBorder="1"/>
    <xf numFmtId="0" fontId="0" fillId="0" borderId="1" xfId="0" applyBorder="1"/>
    <xf numFmtId="17" fontId="9" fillId="0" borderId="1" xfId="0" applyNumberFormat="1" applyFont="1" applyBorder="1"/>
    <xf numFmtId="5" fontId="8" fillId="0" borderId="3" xfId="0" applyNumberFormat="1" applyFont="1" applyBorder="1"/>
    <xf numFmtId="5" fontId="9" fillId="0" borderId="3" xfId="0" applyNumberFormat="1" applyFont="1" applyBorder="1"/>
    <xf numFmtId="5" fontId="9" fillId="0" borderId="4" xfId="0" applyNumberFormat="1" applyFont="1" applyBorder="1"/>
    <xf numFmtId="5" fontId="9" fillId="0" borderId="6" xfId="0" applyNumberFormat="1" applyFont="1" applyBorder="1" applyAlignment="1">
      <alignment horizontal="right"/>
    </xf>
    <xf numFmtId="1" fontId="9" fillId="0" borderId="11" xfId="0" applyNumberFormat="1" applyFont="1" applyBorder="1"/>
    <xf numFmtId="5" fontId="9" fillId="0" borderId="11" xfId="0" applyNumberFormat="1" applyFont="1" applyBorder="1"/>
    <xf numFmtId="0" fontId="11" fillId="0" borderId="6" xfId="0" applyFont="1" applyBorder="1"/>
    <xf numFmtId="1" fontId="11" fillId="0" borderId="11" xfId="0" applyNumberFormat="1" applyFont="1" applyBorder="1"/>
    <xf numFmtId="1" fontId="9" fillId="7" borderId="0" xfId="0" applyNumberFormat="1" applyFont="1" applyFill="1"/>
    <xf numFmtId="1" fontId="9" fillId="7" borderId="11" xfId="0" applyNumberFormat="1" applyFont="1" applyFill="1" applyBorder="1"/>
    <xf numFmtId="0" fontId="9" fillId="0" borderId="6" xfId="0" applyFont="1" applyBorder="1"/>
    <xf numFmtId="0" fontId="9" fillId="8" borderId="13" xfId="0" applyFont="1" applyFill="1" applyBorder="1"/>
    <xf numFmtId="0" fontId="9" fillId="8" borderId="5" xfId="0" applyFont="1" applyFill="1" applyBorder="1"/>
    <xf numFmtId="1" fontId="9" fillId="8" borderId="5" xfId="0" applyNumberFormat="1" applyFont="1" applyFill="1" applyBorder="1"/>
    <xf numFmtId="1" fontId="9" fillId="8" borderId="36" xfId="0" applyNumberFormat="1" applyFont="1" applyFill="1" applyBorder="1"/>
    <xf numFmtId="0" fontId="10" fillId="7" borderId="23" xfId="0" applyFont="1" applyFill="1" applyBorder="1"/>
    <xf numFmtId="0" fontId="9" fillId="5" borderId="26" xfId="0" applyFont="1" applyFill="1" applyBorder="1"/>
    <xf numFmtId="0" fontId="11" fillId="0" borderId="26" xfId="0" applyFont="1" applyBorder="1"/>
    <xf numFmtId="0" fontId="9" fillId="5" borderId="27" xfId="0" applyFont="1" applyFill="1" applyBorder="1"/>
    <xf numFmtId="0" fontId="11" fillId="0" borderId="13" xfId="0" applyFont="1" applyBorder="1"/>
    <xf numFmtId="0" fontId="9" fillId="5" borderId="28" xfId="0" applyFont="1" applyFill="1" applyBorder="1"/>
    <xf numFmtId="0" fontId="11" fillId="0" borderId="1" xfId="0" applyFont="1" applyBorder="1" applyAlignment="1">
      <alignment horizontal="center"/>
    </xf>
    <xf numFmtId="17" fontId="9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5" xfId="0" applyFont="1" applyBorder="1"/>
    <xf numFmtId="0" fontId="41" fillId="5" borderId="26" xfId="0" applyFont="1" applyFill="1" applyBorder="1"/>
    <xf numFmtId="0" fontId="41" fillId="5" borderId="27" xfId="0" applyFont="1" applyFill="1" applyBorder="1"/>
    <xf numFmtId="0" fontId="41" fillId="5" borderId="28" xfId="0" applyFont="1" applyFill="1" applyBorder="1"/>
    <xf numFmtId="6" fontId="8" fillId="6" borderId="20" xfId="0" applyNumberFormat="1" applyFont="1" applyFill="1" applyBorder="1" applyProtection="1">
      <protection locked="0"/>
    </xf>
    <xf numFmtId="6" fontId="5" fillId="6" borderId="20" xfId="5" applyNumberFormat="1" applyFont="1" applyFill="1" applyBorder="1" applyProtection="1">
      <protection locked="0"/>
    </xf>
    <xf numFmtId="10" fontId="5" fillId="6" borderId="20" xfId="0" applyNumberFormat="1" applyFont="1" applyFill="1" applyBorder="1" applyProtection="1">
      <protection locked="0"/>
    </xf>
    <xf numFmtId="9" fontId="5" fillId="6" borderId="20" xfId="0" applyNumberFormat="1" applyFont="1" applyFill="1" applyBorder="1" applyProtection="1">
      <protection locked="0"/>
    </xf>
    <xf numFmtId="169" fontId="5" fillId="6" borderId="20" xfId="3" applyNumberFormat="1" applyFont="1" applyFill="1" applyBorder="1" applyAlignment="1" applyProtection="1">
      <alignment horizontal="center"/>
      <protection locked="0"/>
    </xf>
    <xf numFmtId="5" fontId="5" fillId="6" borderId="20" xfId="0" applyNumberFormat="1" applyFont="1" applyFill="1" applyBorder="1" applyAlignment="1" applyProtection="1">
      <alignment horizontal="center"/>
      <protection locked="0"/>
    </xf>
    <xf numFmtId="6" fontId="11" fillId="2" borderId="20" xfId="1" applyNumberFormat="1" applyFont="1" applyFill="1" applyBorder="1" applyAlignment="1" applyProtection="1">
      <alignment horizontal="center"/>
      <protection locked="0"/>
    </xf>
    <xf numFmtId="10" fontId="5" fillId="2" borderId="20" xfId="3" applyNumberFormat="1" applyFont="1" applyFill="1" applyBorder="1" applyAlignment="1" applyProtection="1">
      <alignment horizontal="center"/>
      <protection locked="0"/>
    </xf>
    <xf numFmtId="8" fontId="5" fillId="2" borderId="20" xfId="1" applyFont="1" applyFill="1" applyBorder="1" applyAlignment="1" applyProtection="1">
      <alignment horizontal="center"/>
      <protection locked="0"/>
    </xf>
    <xf numFmtId="1" fontId="5" fillId="2" borderId="20" xfId="3" applyNumberFormat="1" applyFont="1" applyFill="1" applyBorder="1" applyAlignment="1" applyProtection="1">
      <alignment horizontal="center"/>
      <protection locked="0"/>
    </xf>
    <xf numFmtId="164" fontId="5" fillId="2" borderId="20" xfId="0" applyNumberFormat="1" applyFont="1" applyFill="1" applyBorder="1" applyAlignment="1" applyProtection="1">
      <alignment horizontal="center"/>
      <protection locked="0"/>
    </xf>
    <xf numFmtId="6" fontId="5" fillId="2" borderId="20" xfId="1" applyNumberFormat="1" applyFont="1" applyFill="1" applyBorder="1" applyProtection="1">
      <protection locked="0"/>
    </xf>
    <xf numFmtId="6" fontId="5" fillId="2" borderId="20" xfId="1" applyNumberFormat="1" applyFont="1" applyFill="1" applyBorder="1" applyAlignment="1" applyProtection="1">
      <alignment horizontal="right"/>
      <protection locked="0"/>
    </xf>
    <xf numFmtId="5" fontId="5" fillId="2" borderId="20" xfId="0" applyNumberFormat="1" applyFont="1" applyFill="1" applyBorder="1" applyAlignment="1" applyProtection="1">
      <alignment horizontal="left"/>
      <protection locked="0"/>
    </xf>
    <xf numFmtId="9" fontId="5" fillId="2" borderId="20" xfId="0" applyNumberFormat="1" applyFont="1" applyFill="1" applyBorder="1" applyAlignment="1" applyProtection="1">
      <alignment horizontal="left"/>
      <protection locked="0"/>
    </xf>
    <xf numFmtId="5" fontId="5" fillId="6" borderId="20" xfId="0" applyNumberFormat="1" applyFont="1" applyFill="1" applyBorder="1" applyProtection="1">
      <protection locked="0"/>
    </xf>
    <xf numFmtId="9" fontId="5" fillId="6" borderId="20" xfId="3" applyFont="1" applyFill="1" applyBorder="1" applyAlignment="1" applyProtection="1">
      <alignment horizontal="left" indent="3"/>
      <protection locked="0"/>
    </xf>
    <xf numFmtId="5" fontId="5" fillId="2" borderId="20" xfId="0" applyNumberFormat="1" applyFont="1" applyFill="1" applyBorder="1" applyProtection="1">
      <protection locked="0"/>
    </xf>
    <xf numFmtId="9" fontId="5" fillId="2" borderId="20" xfId="3" applyFont="1" applyFill="1" applyBorder="1" applyAlignment="1" applyProtection="1">
      <alignment horizontal="right"/>
      <protection locked="0"/>
    </xf>
    <xf numFmtId="5" fontId="39" fillId="6" borderId="30" xfId="0" applyNumberFormat="1" applyFont="1" applyFill="1" applyBorder="1" applyProtection="1">
      <protection locked="0"/>
    </xf>
    <xf numFmtId="5" fontId="5" fillId="6" borderId="22" xfId="0" applyNumberFormat="1" applyFont="1" applyFill="1" applyBorder="1" applyProtection="1">
      <protection locked="0"/>
    </xf>
    <xf numFmtId="5" fontId="9" fillId="8" borderId="0" xfId="0" applyNumberFormat="1" applyFont="1" applyFill="1" applyProtection="1">
      <protection locked="0"/>
    </xf>
    <xf numFmtId="0" fontId="11" fillId="2" borderId="20" xfId="0" applyFont="1" applyFill="1" applyBorder="1" applyProtection="1">
      <protection locked="0"/>
    </xf>
    <xf numFmtId="5" fontId="11" fillId="6" borderId="20" xfId="0" applyNumberFormat="1" applyFont="1" applyFill="1" applyBorder="1" applyProtection="1">
      <protection locked="0"/>
    </xf>
    <xf numFmtId="6" fontId="11" fillId="6" borderId="20" xfId="0" applyNumberFormat="1" applyFont="1" applyFill="1" applyBorder="1" applyProtection="1">
      <protection locked="0"/>
    </xf>
    <xf numFmtId="5" fontId="5" fillId="0" borderId="0" xfId="0" quotePrefix="1" applyNumberFormat="1" applyFont="1" applyAlignment="1" applyProtection="1">
      <alignment horizontal="left"/>
      <protection locked="0"/>
    </xf>
    <xf numFmtId="0" fontId="11" fillId="6" borderId="20" xfId="0" applyFont="1" applyFill="1" applyBorder="1" applyProtection="1">
      <protection locked="0"/>
    </xf>
    <xf numFmtId="10" fontId="5" fillId="6" borderId="20" xfId="6" applyNumberFormat="1" applyFont="1" applyFill="1" applyBorder="1" applyAlignment="1" applyProtection="1">
      <alignment horizontal="center"/>
      <protection locked="0"/>
    </xf>
    <xf numFmtId="10" fontId="45" fillId="9" borderId="20" xfId="0" applyNumberFormat="1" applyFont="1" applyFill="1" applyBorder="1" applyAlignment="1" applyProtection="1">
      <alignment horizontal="center" vertical="top" wrapText="1" readingOrder="1"/>
      <protection locked="0"/>
    </xf>
    <xf numFmtId="172" fontId="45" fillId="10" borderId="20" xfId="0" applyNumberFormat="1" applyFont="1" applyFill="1" applyBorder="1" applyAlignment="1" applyProtection="1">
      <alignment horizontal="center" vertical="top" wrapText="1" readingOrder="1"/>
      <protection locked="0"/>
    </xf>
    <xf numFmtId="5" fontId="21" fillId="0" borderId="0" xfId="0" applyNumberFormat="1" applyFont="1" applyAlignment="1">
      <alignment horizontal="center"/>
    </xf>
    <xf numFmtId="0" fontId="8" fillId="7" borderId="23" xfId="0" applyFont="1" applyFill="1" applyBorder="1" applyAlignment="1">
      <alignment horizontal="center"/>
    </xf>
    <xf numFmtId="0" fontId="8" fillId="7" borderId="24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49" fontId="8" fillId="6" borderId="0" xfId="0" quotePrefix="1" applyNumberFormat="1" applyFont="1" applyFill="1" applyAlignment="1">
      <alignment horizontal="center"/>
    </xf>
    <xf numFmtId="49" fontId="8" fillId="6" borderId="11" xfId="0" quotePrefix="1" applyNumberFormat="1" applyFont="1" applyFill="1" applyBorder="1" applyAlignment="1">
      <alignment horizontal="center"/>
    </xf>
    <xf numFmtId="0" fontId="5" fillId="2" borderId="20" xfId="0" applyFont="1" applyFill="1" applyBorder="1" applyAlignment="1" applyProtection="1">
      <alignment horizontal="center"/>
      <protection locked="0"/>
    </xf>
    <xf numFmtId="0" fontId="5" fillId="2" borderId="30" xfId="0" applyFont="1" applyFill="1" applyBorder="1" applyAlignment="1" applyProtection="1">
      <alignment horizontal="center"/>
      <protection locked="0"/>
    </xf>
    <xf numFmtId="0" fontId="5" fillId="2" borderId="31" xfId="0" applyFont="1" applyFill="1" applyBorder="1" applyAlignment="1" applyProtection="1">
      <alignment horizontal="center"/>
      <protection locked="0"/>
    </xf>
    <xf numFmtId="49" fontId="8" fillId="7" borderId="0" xfId="0" quotePrefix="1" applyNumberFormat="1" applyFont="1" applyFill="1" applyAlignment="1">
      <alignment horizontal="center"/>
    </xf>
    <xf numFmtId="49" fontId="8" fillId="7" borderId="11" xfId="0" quotePrefix="1" applyNumberFormat="1" applyFont="1" applyFill="1" applyBorder="1" applyAlignment="1">
      <alignment horizontal="center"/>
    </xf>
    <xf numFmtId="5" fontId="32" fillId="2" borderId="20" xfId="0" applyNumberFormat="1" applyFont="1" applyFill="1" applyBorder="1" applyAlignment="1" applyProtection="1">
      <alignment horizontal="center"/>
      <protection locked="0"/>
    </xf>
    <xf numFmtId="0" fontId="18" fillId="0" borderId="0" xfId="0" applyFont="1" applyAlignment="1">
      <alignment horizontal="center"/>
    </xf>
    <xf numFmtId="166" fontId="5" fillId="6" borderId="20" xfId="0" applyNumberFormat="1" applyFont="1" applyFill="1" applyBorder="1" applyAlignment="1" applyProtection="1">
      <alignment horizontal="center"/>
      <protection locked="0"/>
    </xf>
    <xf numFmtId="5" fontId="18" fillId="0" borderId="0" xfId="0" applyNumberFormat="1" applyFont="1" applyAlignment="1">
      <alignment horizontal="center"/>
    </xf>
    <xf numFmtId="10" fontId="32" fillId="2" borderId="20" xfId="3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>
      <alignment wrapText="1"/>
    </xf>
    <xf numFmtId="5" fontId="10" fillId="7" borderId="23" xfId="0" applyNumberFormat="1" applyFont="1" applyFill="1" applyBorder="1" applyAlignment="1">
      <alignment horizontal="center"/>
    </xf>
    <xf numFmtId="5" fontId="10" fillId="7" borderId="25" xfId="0" applyNumberFormat="1" applyFont="1" applyFill="1" applyBorder="1" applyAlignment="1">
      <alignment horizontal="center"/>
    </xf>
    <xf numFmtId="5" fontId="10" fillId="7" borderId="24" xfId="0" applyNumberFormat="1" applyFont="1" applyFill="1" applyBorder="1" applyAlignment="1">
      <alignment horizontal="center"/>
    </xf>
    <xf numFmtId="10" fontId="32" fillId="2" borderId="20" xfId="0" applyNumberFormat="1" applyFont="1" applyFill="1" applyBorder="1" applyAlignment="1" applyProtection="1">
      <alignment horizontal="center"/>
      <protection locked="0"/>
    </xf>
    <xf numFmtId="9" fontId="32" fillId="2" borderId="20" xfId="3" applyFont="1" applyFill="1" applyBorder="1" applyAlignment="1" applyProtection="1">
      <alignment horizontal="center"/>
      <protection locked="0"/>
    </xf>
    <xf numFmtId="6" fontId="32" fillId="2" borderId="20" xfId="1" applyNumberFormat="1" applyFont="1" applyFill="1" applyBorder="1" applyAlignment="1" applyProtection="1">
      <alignment horizontal="center"/>
      <protection locked="0"/>
    </xf>
    <xf numFmtId="5" fontId="5" fillId="6" borderId="33" xfId="0" applyNumberFormat="1" applyFont="1" applyFill="1" applyBorder="1" applyAlignment="1" applyProtection="1">
      <alignment horizontal="left"/>
      <protection locked="0"/>
    </xf>
    <xf numFmtId="5" fontId="5" fillId="6" borderId="20" xfId="0" applyNumberFormat="1" applyFont="1" applyFill="1" applyBorder="1" applyAlignment="1" applyProtection="1">
      <alignment horizontal="left"/>
      <protection locked="0"/>
    </xf>
    <xf numFmtId="5" fontId="21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28" fillId="2" borderId="17" xfId="0" applyFont="1" applyFill="1" applyBorder="1" applyAlignment="1">
      <alignment horizontal="center" vertical="center"/>
    </xf>
    <xf numFmtId="0" fontId="31" fillId="5" borderId="23" xfId="0" applyFont="1" applyFill="1" applyBorder="1" applyAlignment="1">
      <alignment horizontal="center"/>
    </xf>
    <xf numFmtId="0" fontId="31" fillId="5" borderId="25" xfId="0" applyFont="1" applyFill="1" applyBorder="1" applyAlignment="1">
      <alignment horizontal="center"/>
    </xf>
    <xf numFmtId="0" fontId="31" fillId="5" borderId="24" xfId="0" applyFont="1" applyFill="1" applyBorder="1" applyAlignment="1">
      <alignment horizontal="center"/>
    </xf>
    <xf numFmtId="6" fontId="14" fillId="11" borderId="9" xfId="1" applyNumberFormat="1" applyFont="1" applyFill="1" applyBorder="1" applyAlignment="1">
      <alignment horizontal="center" vertical="center"/>
    </xf>
    <xf numFmtId="6" fontId="14" fillId="11" borderId="3" xfId="1" applyNumberFormat="1" applyFont="1" applyFill="1" applyBorder="1" applyAlignment="1">
      <alignment horizontal="center" vertical="center"/>
    </xf>
    <xf numFmtId="6" fontId="14" fillId="11" borderId="4" xfId="1" applyNumberFormat="1" applyFont="1" applyFill="1" applyBorder="1" applyAlignment="1">
      <alignment horizontal="center" vertical="center"/>
    </xf>
    <xf numFmtId="6" fontId="14" fillId="11" borderId="13" xfId="1" applyNumberFormat="1" applyFont="1" applyFill="1" applyBorder="1" applyAlignment="1">
      <alignment horizontal="center" vertical="center"/>
    </xf>
    <xf numFmtId="6" fontId="14" fillId="11" borderId="5" xfId="1" applyNumberFormat="1" applyFont="1" applyFill="1" applyBorder="1" applyAlignment="1">
      <alignment horizontal="center" vertical="center"/>
    </xf>
    <xf numFmtId="6" fontId="14" fillId="11" borderId="7" xfId="1" applyNumberFormat="1" applyFont="1" applyFill="1" applyBorder="1" applyAlignment="1">
      <alignment horizontal="center" vertical="center"/>
    </xf>
    <xf numFmtId="0" fontId="16" fillId="7" borderId="23" xfId="0" applyFont="1" applyFill="1" applyBorder="1" applyAlignment="1">
      <alignment horizontal="center"/>
    </xf>
    <xf numFmtId="0" fontId="16" fillId="7" borderId="25" xfId="0" applyFont="1" applyFill="1" applyBorder="1" applyAlignment="1">
      <alignment horizontal="center"/>
    </xf>
    <xf numFmtId="0" fontId="16" fillId="7" borderId="24" xfId="0" applyFont="1" applyFill="1" applyBorder="1" applyAlignment="1">
      <alignment horizontal="center"/>
    </xf>
    <xf numFmtId="0" fontId="17" fillId="5" borderId="9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wrapText="1"/>
    </xf>
    <xf numFmtId="0" fontId="17" fillId="5" borderId="4" xfId="0" applyFont="1" applyFill="1" applyBorder="1" applyAlignment="1">
      <alignment horizontal="center" wrapText="1"/>
    </xf>
    <xf numFmtId="0" fontId="17" fillId="5" borderId="6" xfId="0" applyFont="1" applyFill="1" applyBorder="1" applyAlignment="1">
      <alignment horizontal="center" wrapText="1"/>
    </xf>
    <xf numFmtId="0" fontId="17" fillId="5" borderId="11" xfId="0" applyFont="1" applyFill="1" applyBorder="1" applyAlignment="1">
      <alignment horizontal="center" wrapText="1"/>
    </xf>
    <xf numFmtId="0" fontId="17" fillId="5" borderId="13" xfId="0" applyFont="1" applyFill="1" applyBorder="1" applyAlignment="1">
      <alignment horizontal="center" wrapText="1"/>
    </xf>
    <xf numFmtId="0" fontId="17" fillId="5" borderId="7" xfId="0" applyFont="1" applyFill="1" applyBorder="1" applyAlignment="1">
      <alignment horizont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10" fontId="16" fillId="11" borderId="9" xfId="3" applyNumberFormat="1" applyFont="1" applyFill="1" applyBorder="1" applyAlignment="1">
      <alignment horizontal="center" vertical="center"/>
    </xf>
    <xf numFmtId="10" fontId="16" fillId="11" borderId="3" xfId="3" applyNumberFormat="1" applyFont="1" applyFill="1" applyBorder="1" applyAlignment="1">
      <alignment horizontal="center" vertical="center"/>
    </xf>
    <xf numFmtId="10" fontId="16" fillId="11" borderId="4" xfId="3" applyNumberFormat="1" applyFont="1" applyFill="1" applyBorder="1" applyAlignment="1">
      <alignment horizontal="center" vertical="center"/>
    </xf>
    <xf numFmtId="10" fontId="16" fillId="11" borderId="6" xfId="3" applyNumberFormat="1" applyFont="1" applyFill="1" applyBorder="1" applyAlignment="1">
      <alignment horizontal="center" vertical="center"/>
    </xf>
    <xf numFmtId="10" fontId="16" fillId="11" borderId="0" xfId="3" applyNumberFormat="1" applyFont="1" applyFill="1" applyBorder="1" applyAlignment="1">
      <alignment horizontal="center" vertical="center"/>
    </xf>
    <xf numFmtId="10" fontId="16" fillId="11" borderId="11" xfId="3" applyNumberFormat="1" applyFont="1" applyFill="1" applyBorder="1" applyAlignment="1">
      <alignment horizontal="center" vertical="center"/>
    </xf>
    <xf numFmtId="10" fontId="16" fillId="11" borderId="35" xfId="3" applyNumberFormat="1" applyFont="1" applyFill="1" applyBorder="1" applyAlignment="1">
      <alignment horizontal="center" vertical="center"/>
    </xf>
    <xf numFmtId="10" fontId="16" fillId="11" borderId="34" xfId="3" applyNumberFormat="1" applyFont="1" applyFill="1" applyBorder="1" applyAlignment="1">
      <alignment horizontal="center" vertical="center"/>
    </xf>
    <xf numFmtId="10" fontId="16" fillId="11" borderId="36" xfId="3" applyNumberFormat="1" applyFont="1" applyFill="1" applyBorder="1" applyAlignment="1">
      <alignment horizontal="center" vertical="center"/>
    </xf>
    <xf numFmtId="6" fontId="12" fillId="11" borderId="23" xfId="1" applyNumberFormat="1" applyFont="1" applyFill="1" applyBorder="1" applyAlignment="1">
      <alignment horizontal="center" vertical="center"/>
    </xf>
    <xf numFmtId="6" fontId="12" fillId="11" borderId="25" xfId="1" applyNumberFormat="1" applyFont="1" applyFill="1" applyBorder="1" applyAlignment="1">
      <alignment horizontal="center" vertical="center"/>
    </xf>
    <xf numFmtId="6" fontId="12" fillId="11" borderId="24" xfId="1" applyNumberFormat="1" applyFont="1" applyFill="1" applyBorder="1" applyAlignment="1">
      <alignment horizontal="center" vertical="center"/>
    </xf>
    <xf numFmtId="6" fontId="7" fillId="6" borderId="23" xfId="1" applyNumberFormat="1" applyFont="1" applyFill="1" applyBorder="1" applyAlignment="1" applyProtection="1">
      <alignment horizontal="center" vertical="center"/>
      <protection locked="0"/>
    </xf>
    <xf numFmtId="6" fontId="7" fillId="6" borderId="25" xfId="1" applyNumberFormat="1" applyFont="1" applyFill="1" applyBorder="1" applyAlignment="1" applyProtection="1">
      <alignment horizontal="center" vertical="center"/>
      <protection locked="0"/>
    </xf>
    <xf numFmtId="6" fontId="7" fillId="6" borderId="24" xfId="1" applyNumberFormat="1" applyFont="1" applyFill="1" applyBorder="1" applyAlignment="1" applyProtection="1">
      <alignment horizontal="center" vertical="center"/>
      <protection locked="0"/>
    </xf>
  </cellXfs>
  <cellStyles count="7">
    <cellStyle name="Currency" xfId="1" builtinId="4"/>
    <cellStyle name="Currency 2 4" xfId="5" xr:uid="{1B5F27F1-4DB8-4898-8B02-CCF9E7339FB9}"/>
    <cellStyle name="Normal" xfId="0" builtinId="0"/>
    <cellStyle name="Normal 2" xfId="4" xr:uid="{00000000-0005-0000-0000-000030000000}"/>
    <cellStyle name="Normal_OUAC sales index 2003" xfId="2" xr:uid="{00000000-0005-0000-0000-000002000000}"/>
    <cellStyle name="Percent" xfId="3" builtinId="5"/>
    <cellStyle name="Percent 3 2" xfId="6" xr:uid="{D66EE442-D73B-440F-A329-360486944EBF}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7"/>
  <sheetViews>
    <sheetView topLeftCell="A37" zoomScale="110" zoomScaleNormal="110" workbookViewId="0">
      <selection activeCell="C4" sqref="C4"/>
    </sheetView>
  </sheetViews>
  <sheetFormatPr defaultColWidth="9.1796875" defaultRowHeight="13"/>
  <cols>
    <col min="1" max="1" width="13.7265625" style="1" bestFit="1" customWidth="1"/>
    <col min="2" max="2" width="13.453125" style="1" customWidth="1"/>
    <col min="3" max="14" width="13.1796875" style="1" customWidth="1"/>
    <col min="15" max="15" width="13.26953125" style="1" customWidth="1"/>
    <col min="16" max="16384" width="9.1796875" style="1"/>
  </cols>
  <sheetData>
    <row r="1" spans="1:15" ht="15.5">
      <c r="A1" s="300" t="s">
        <v>0</v>
      </c>
      <c r="B1" s="301"/>
      <c r="C1" s="30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</row>
    <row r="2" spans="1:15" ht="14.5">
      <c r="A2" s="28"/>
      <c r="C2" s="396" t="s">
        <v>133</v>
      </c>
      <c r="D2" s="396" t="s">
        <v>134</v>
      </c>
      <c r="E2" s="396" t="s">
        <v>135</v>
      </c>
      <c r="F2" s="396" t="s">
        <v>136</v>
      </c>
      <c r="G2" s="396" t="s">
        <v>137</v>
      </c>
      <c r="H2" s="396" t="s">
        <v>138</v>
      </c>
      <c r="I2" s="396" t="s">
        <v>139</v>
      </c>
      <c r="J2" s="396" t="s">
        <v>140</v>
      </c>
      <c r="K2" s="396" t="s">
        <v>141</v>
      </c>
      <c r="L2" s="396" t="s">
        <v>142</v>
      </c>
      <c r="M2" s="396" t="s">
        <v>143</v>
      </c>
      <c r="N2" s="396" t="s">
        <v>144</v>
      </c>
      <c r="O2" s="27"/>
    </row>
    <row r="3" spans="1:15">
      <c r="A3" s="303" t="s">
        <v>1</v>
      </c>
      <c r="C3" s="304"/>
      <c r="O3" s="27"/>
    </row>
    <row r="4" spans="1:15">
      <c r="A4" s="28" t="s">
        <v>2</v>
      </c>
      <c r="B4" s="15">
        <v>2025</v>
      </c>
      <c r="C4" s="502">
        <v>1</v>
      </c>
      <c r="D4" s="502">
        <v>1</v>
      </c>
      <c r="E4" s="502">
        <v>1</v>
      </c>
      <c r="F4" s="502">
        <v>1</v>
      </c>
      <c r="G4" s="502">
        <v>1</v>
      </c>
      <c r="H4" s="502">
        <v>1</v>
      </c>
      <c r="I4" s="502">
        <v>1</v>
      </c>
      <c r="J4" s="502">
        <v>1</v>
      </c>
      <c r="K4" s="502">
        <v>1</v>
      </c>
      <c r="L4" s="502">
        <v>1</v>
      </c>
      <c r="M4" s="502">
        <v>1</v>
      </c>
      <c r="N4" s="502">
        <v>1</v>
      </c>
      <c r="O4" s="305">
        <f>SUM(C4:N4)</f>
        <v>12</v>
      </c>
    </row>
    <row r="5" spans="1:15">
      <c r="A5" s="306" t="s">
        <v>3</v>
      </c>
      <c r="B5" s="15"/>
      <c r="C5" s="307">
        <f>C4/$O$4</f>
        <v>8.3333333333333329E-2</v>
      </c>
      <c r="D5" s="307">
        <f t="shared" ref="D5:N5" si="0">D4/$O$4</f>
        <v>8.3333333333333329E-2</v>
      </c>
      <c r="E5" s="307">
        <f t="shared" si="0"/>
        <v>8.3333333333333329E-2</v>
      </c>
      <c r="F5" s="307">
        <f t="shared" si="0"/>
        <v>8.3333333333333329E-2</v>
      </c>
      <c r="G5" s="307">
        <f t="shared" si="0"/>
        <v>8.3333333333333329E-2</v>
      </c>
      <c r="H5" s="307">
        <f t="shared" si="0"/>
        <v>8.3333333333333329E-2</v>
      </c>
      <c r="I5" s="307">
        <f t="shared" si="0"/>
        <v>8.3333333333333329E-2</v>
      </c>
      <c r="J5" s="307">
        <f t="shared" si="0"/>
        <v>8.3333333333333329E-2</v>
      </c>
      <c r="K5" s="307">
        <f t="shared" si="0"/>
        <v>8.3333333333333329E-2</v>
      </c>
      <c r="L5" s="307">
        <f t="shared" si="0"/>
        <v>8.3333333333333329E-2</v>
      </c>
      <c r="M5" s="307">
        <f t="shared" si="0"/>
        <v>8.3333333333333329E-2</v>
      </c>
      <c r="N5" s="307">
        <f t="shared" si="0"/>
        <v>8.3333333333333329E-2</v>
      </c>
      <c r="O5" s="308">
        <f>SUM(C5:N5)</f>
        <v>1</v>
      </c>
    </row>
    <row r="6" spans="1:15">
      <c r="A6" s="28" t="s">
        <v>2</v>
      </c>
      <c r="B6" s="15">
        <v>2024</v>
      </c>
      <c r="C6" s="502">
        <v>1</v>
      </c>
      <c r="D6" s="502">
        <v>1</v>
      </c>
      <c r="E6" s="502">
        <v>618.22</v>
      </c>
      <c r="F6" s="502">
        <v>1.94</v>
      </c>
      <c r="G6" s="502">
        <v>1</v>
      </c>
      <c r="H6" s="502">
        <v>1</v>
      </c>
      <c r="I6" s="502">
        <v>1</v>
      </c>
      <c r="J6" s="502">
        <v>1</v>
      </c>
      <c r="K6" s="502">
        <v>1</v>
      </c>
      <c r="L6" s="502">
        <v>1</v>
      </c>
      <c r="M6" s="502">
        <v>1</v>
      </c>
      <c r="N6" s="502">
        <v>1</v>
      </c>
      <c r="O6" s="305">
        <f>SUM(C6:N6)</f>
        <v>630.16000000000008</v>
      </c>
    </row>
    <row r="7" spans="1:15">
      <c r="A7" s="306" t="s">
        <v>3</v>
      </c>
      <c r="C7" s="307">
        <f>C6/$O$6</f>
        <v>1.5868985654436966E-3</v>
      </c>
      <c r="D7" s="307">
        <f t="shared" ref="D7:N7" si="1">D6/$O$6</f>
        <v>1.5868985654436966E-3</v>
      </c>
      <c r="E7" s="307">
        <f t="shared" si="1"/>
        <v>0.98105243112860219</v>
      </c>
      <c r="F7" s="307">
        <f t="shared" si="1"/>
        <v>3.0785832169607716E-3</v>
      </c>
      <c r="G7" s="307">
        <f t="shared" si="1"/>
        <v>1.5868985654436966E-3</v>
      </c>
      <c r="H7" s="307">
        <f t="shared" si="1"/>
        <v>1.5868985654436966E-3</v>
      </c>
      <c r="I7" s="307">
        <f t="shared" si="1"/>
        <v>1.5868985654436966E-3</v>
      </c>
      <c r="J7" s="307">
        <f t="shared" si="1"/>
        <v>1.5868985654436966E-3</v>
      </c>
      <c r="K7" s="307">
        <f t="shared" si="1"/>
        <v>1.5868985654436966E-3</v>
      </c>
      <c r="L7" s="307">
        <f t="shared" si="1"/>
        <v>1.5868985654436966E-3</v>
      </c>
      <c r="M7" s="307">
        <f t="shared" si="1"/>
        <v>1.5868985654436966E-3</v>
      </c>
      <c r="N7" s="307">
        <f t="shared" si="1"/>
        <v>1.5868985654436966E-3</v>
      </c>
      <c r="O7" s="308">
        <f>SUM(C7:N7)</f>
        <v>0.99999999999999989</v>
      </c>
    </row>
    <row r="8" spans="1:15">
      <c r="A8" s="28"/>
      <c r="O8" s="27"/>
    </row>
    <row r="9" spans="1:15">
      <c r="A9" s="28"/>
      <c r="C9" s="334">
        <f>(C5+C7)/2</f>
        <v>4.2460115949388512E-2</v>
      </c>
      <c r="D9" s="334">
        <f t="shared" ref="D9:N9" si="2">(D5+D7)/2</f>
        <v>4.2460115949388512E-2</v>
      </c>
      <c r="E9" s="334">
        <f t="shared" si="2"/>
        <v>0.53219288223096772</v>
      </c>
      <c r="F9" s="334">
        <f t="shared" si="2"/>
        <v>4.3205958275147047E-2</v>
      </c>
      <c r="G9" s="334">
        <f t="shared" si="2"/>
        <v>4.2460115949388512E-2</v>
      </c>
      <c r="H9" s="334">
        <f t="shared" si="2"/>
        <v>4.2460115949388512E-2</v>
      </c>
      <c r="I9" s="334">
        <f t="shared" si="2"/>
        <v>4.2460115949388512E-2</v>
      </c>
      <c r="J9" s="334">
        <f t="shared" si="2"/>
        <v>4.2460115949388512E-2</v>
      </c>
      <c r="K9" s="334">
        <f t="shared" si="2"/>
        <v>4.2460115949388512E-2</v>
      </c>
      <c r="L9" s="334">
        <f t="shared" si="2"/>
        <v>4.2460115949388512E-2</v>
      </c>
      <c r="M9" s="334">
        <f t="shared" si="2"/>
        <v>4.2460115949388512E-2</v>
      </c>
      <c r="N9" s="334">
        <f t="shared" si="2"/>
        <v>4.2460115949388512E-2</v>
      </c>
      <c r="O9" s="335">
        <f>SUM(C9:N9)</f>
        <v>0.99999999999999967</v>
      </c>
    </row>
    <row r="10" spans="1:15">
      <c r="A10" s="28"/>
      <c r="C10" s="307"/>
      <c r="D10" s="307"/>
      <c r="E10" s="307"/>
      <c r="F10" s="307"/>
      <c r="G10" s="307"/>
      <c r="H10" s="307"/>
      <c r="I10" s="307"/>
      <c r="J10" s="307"/>
      <c r="K10" s="307"/>
      <c r="L10" s="307"/>
      <c r="M10" s="307"/>
      <c r="N10" s="307"/>
      <c r="O10" s="308"/>
    </row>
    <row r="11" spans="1:15">
      <c r="A11" s="303" t="s">
        <v>4</v>
      </c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8"/>
    </row>
    <row r="12" spans="1:15">
      <c r="A12" s="28" t="s">
        <v>2</v>
      </c>
      <c r="B12" s="15">
        <v>2025</v>
      </c>
      <c r="C12" s="502">
        <v>52154.11</v>
      </c>
      <c r="D12" s="502">
        <v>30951.46</v>
      </c>
      <c r="E12" s="502">
        <v>38954.980000000003</v>
      </c>
      <c r="F12" s="502">
        <v>44995.46</v>
      </c>
      <c r="G12" s="502">
        <v>55332.9</v>
      </c>
      <c r="H12" s="502">
        <v>38854.870000000003</v>
      </c>
      <c r="I12" s="502">
        <v>44246.87</v>
      </c>
      <c r="J12" s="502">
        <v>61285.45</v>
      </c>
      <c r="K12" s="502">
        <v>38490.74</v>
      </c>
      <c r="L12" s="502">
        <v>39954.28</v>
      </c>
      <c r="M12" s="502">
        <v>39894</v>
      </c>
      <c r="N12" s="502">
        <v>43954.02</v>
      </c>
      <c r="O12" s="305">
        <f>SUM(C12:N12)</f>
        <v>529069.14</v>
      </c>
    </row>
    <row r="13" spans="1:15">
      <c r="A13" s="306" t="s">
        <v>3</v>
      </c>
      <c r="B13" s="15"/>
      <c r="C13" s="307">
        <f>C12/$O$12</f>
        <v>9.8577116026839134E-2</v>
      </c>
      <c r="D13" s="307">
        <f t="shared" ref="D13:N13" si="3">D12/$O$12</f>
        <v>5.8501730038535225E-2</v>
      </c>
      <c r="E13" s="307">
        <f t="shared" si="3"/>
        <v>7.3629280286504714E-2</v>
      </c>
      <c r="F13" s="307">
        <f t="shared" si="3"/>
        <v>8.504646481554376E-2</v>
      </c>
      <c r="G13" s="307">
        <f t="shared" si="3"/>
        <v>0.10458538556983309</v>
      </c>
      <c r="H13" s="307">
        <f t="shared" si="3"/>
        <v>7.3440061161004405E-2</v>
      </c>
      <c r="I13" s="307">
        <f t="shared" si="3"/>
        <v>8.3631545774905711E-2</v>
      </c>
      <c r="J13" s="307">
        <f t="shared" si="3"/>
        <v>0.11583637253913542</v>
      </c>
      <c r="K13" s="307">
        <f t="shared" si="3"/>
        <v>7.2751814630503675E-2</v>
      </c>
      <c r="L13" s="307">
        <f t="shared" si="3"/>
        <v>7.5518069339670799E-2</v>
      </c>
      <c r="M13" s="307">
        <f t="shared" si="3"/>
        <v>7.5404133380374438E-2</v>
      </c>
      <c r="N13" s="307">
        <f t="shared" si="3"/>
        <v>8.307802643714958E-2</v>
      </c>
      <c r="O13" s="308">
        <f>SUM(C13:N13)</f>
        <v>1</v>
      </c>
    </row>
    <row r="14" spans="1:15">
      <c r="A14" s="28" t="s">
        <v>2</v>
      </c>
      <c r="B14" s="15">
        <v>2024</v>
      </c>
      <c r="C14" s="502">
        <v>40907.879999999997</v>
      </c>
      <c r="D14" s="502">
        <v>41173.07</v>
      </c>
      <c r="E14" s="502">
        <v>37793.75</v>
      </c>
      <c r="F14" s="502">
        <v>49429.05</v>
      </c>
      <c r="G14" s="502">
        <v>57243.76</v>
      </c>
      <c r="H14" s="502">
        <v>46187.96</v>
      </c>
      <c r="I14" s="502">
        <v>53377.54</v>
      </c>
      <c r="J14" s="502">
        <v>64187.11</v>
      </c>
      <c r="K14" s="502">
        <v>33462.550000000003</v>
      </c>
      <c r="L14" s="502">
        <v>38348.980000000003</v>
      </c>
      <c r="M14" s="502">
        <v>41165.58</v>
      </c>
      <c r="N14" s="502">
        <v>48368.800000000003</v>
      </c>
      <c r="O14" s="305">
        <f>SUM(C14:N14)</f>
        <v>551646.03</v>
      </c>
    </row>
    <row r="15" spans="1:15">
      <c r="A15" s="306" t="s">
        <v>3</v>
      </c>
      <c r="C15" s="307">
        <f>C14/$O$14</f>
        <v>7.4156030815630075E-2</v>
      </c>
      <c r="D15" s="307">
        <f t="shared" ref="D15:N15" si="4">D14/$O$14</f>
        <v>7.4636755747159098E-2</v>
      </c>
      <c r="E15" s="307">
        <f t="shared" si="4"/>
        <v>6.8510871001827026E-2</v>
      </c>
      <c r="F15" s="307">
        <f t="shared" si="4"/>
        <v>8.9602838254813508E-2</v>
      </c>
      <c r="G15" s="307">
        <f t="shared" si="4"/>
        <v>0.10376900564298451</v>
      </c>
      <c r="H15" s="307">
        <f t="shared" si="4"/>
        <v>8.3727530858873397E-2</v>
      </c>
      <c r="I15" s="307">
        <f t="shared" si="4"/>
        <v>9.6760489693001148E-2</v>
      </c>
      <c r="J15" s="307">
        <f t="shared" si="4"/>
        <v>0.11635560941134662</v>
      </c>
      <c r="K15" s="307">
        <f t="shared" si="4"/>
        <v>6.0659459472589695E-2</v>
      </c>
      <c r="L15" s="307">
        <f t="shared" si="4"/>
        <v>6.9517367867217322E-2</v>
      </c>
      <c r="M15" s="307">
        <f t="shared" si="4"/>
        <v>7.4623178199977255E-2</v>
      </c>
      <c r="N15" s="307">
        <f t="shared" si="4"/>
        <v>8.768086303458035E-2</v>
      </c>
      <c r="O15" s="308">
        <f>SUM(C15:N15)</f>
        <v>0.99999999999999989</v>
      </c>
    </row>
    <row r="16" spans="1:15">
      <c r="A16" s="28"/>
      <c r="O16" s="27"/>
    </row>
    <row r="17" spans="1:15">
      <c r="A17" s="28"/>
      <c r="C17" s="334">
        <f>(C13+C15)/2</f>
        <v>8.6366573421234605E-2</v>
      </c>
      <c r="D17" s="334">
        <f t="shared" ref="D17:N17" si="5">(D13+D15)/2</f>
        <v>6.6569242892847158E-2</v>
      </c>
      <c r="E17" s="334">
        <f t="shared" si="5"/>
        <v>7.107007564416587E-2</v>
      </c>
      <c r="F17" s="334">
        <f t="shared" si="5"/>
        <v>8.7324651535178627E-2</v>
      </c>
      <c r="G17" s="334">
        <f t="shared" si="5"/>
        <v>0.1041771956064088</v>
      </c>
      <c r="H17" s="334">
        <f t="shared" si="5"/>
        <v>7.8583796009938894E-2</v>
      </c>
      <c r="I17" s="334">
        <f t="shared" si="5"/>
        <v>9.0196017733953429E-2</v>
      </c>
      <c r="J17" s="334">
        <f t="shared" si="5"/>
        <v>0.11609599097524102</v>
      </c>
      <c r="K17" s="334">
        <f t="shared" si="5"/>
        <v>6.6705637051546682E-2</v>
      </c>
      <c r="L17" s="334">
        <f t="shared" si="5"/>
        <v>7.2517718603444054E-2</v>
      </c>
      <c r="M17" s="334">
        <f t="shared" si="5"/>
        <v>7.5013655790175854E-2</v>
      </c>
      <c r="N17" s="334">
        <f t="shared" si="5"/>
        <v>8.5379444735864965E-2</v>
      </c>
      <c r="O17" s="335">
        <f>SUM(C17:N17)</f>
        <v>1</v>
      </c>
    </row>
    <row r="18" spans="1:15">
      <c r="A18" s="28"/>
      <c r="C18" s="307"/>
      <c r="D18" s="307"/>
      <c r="E18" s="307"/>
      <c r="F18" s="307"/>
      <c r="G18" s="307"/>
      <c r="H18" s="307"/>
      <c r="I18" s="307"/>
      <c r="J18" s="307"/>
      <c r="K18" s="307"/>
      <c r="L18" s="307"/>
      <c r="M18" s="307"/>
      <c r="N18" s="307"/>
      <c r="O18" s="308"/>
    </row>
    <row r="19" spans="1:15">
      <c r="A19" s="312" t="s">
        <v>5</v>
      </c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8"/>
    </row>
    <row r="20" spans="1:15">
      <c r="A20" s="28" t="s">
        <v>2</v>
      </c>
      <c r="B20" s="15">
        <v>2025</v>
      </c>
      <c r="C20" s="502">
        <v>89797.23</v>
      </c>
      <c r="D20" s="502">
        <v>94694.78</v>
      </c>
      <c r="E20" s="502">
        <v>129984.15</v>
      </c>
      <c r="F20" s="502">
        <v>109322.38</v>
      </c>
      <c r="G20" s="502">
        <v>130991.67999999999</v>
      </c>
      <c r="H20" s="502">
        <v>128556.74</v>
      </c>
      <c r="I20" s="502">
        <v>127924.41</v>
      </c>
      <c r="J20" s="502">
        <v>193654.06</v>
      </c>
      <c r="K20" s="502">
        <v>109375.01</v>
      </c>
      <c r="L20" s="502">
        <v>120976.64</v>
      </c>
      <c r="M20" s="502">
        <v>119785.36</v>
      </c>
      <c r="N20" s="502">
        <v>100405.6</v>
      </c>
      <c r="O20" s="305">
        <f>SUM(C20:N20)</f>
        <v>1455468.04</v>
      </c>
    </row>
    <row r="21" spans="1:15">
      <c r="A21" s="306" t="s">
        <v>3</v>
      </c>
      <c r="B21" s="15"/>
      <c r="C21" s="307">
        <f>C20/$O$20</f>
        <v>6.1696462946723304E-2</v>
      </c>
      <c r="D21" s="307">
        <f t="shared" ref="D21:N21" si="6">D20/$O$20</f>
        <v>6.506139427149496E-2</v>
      </c>
      <c r="E21" s="307">
        <f t="shared" si="6"/>
        <v>8.9307457414179975E-2</v>
      </c>
      <c r="F21" s="307">
        <f t="shared" si="6"/>
        <v>7.5111494718908434E-2</v>
      </c>
      <c r="G21" s="307">
        <f t="shared" si="6"/>
        <v>8.9999695218316161E-2</v>
      </c>
      <c r="H21" s="307">
        <f t="shared" si="6"/>
        <v>8.8326735089284403E-2</v>
      </c>
      <c r="I21" s="307">
        <f t="shared" si="6"/>
        <v>8.7892283776976651E-2</v>
      </c>
      <c r="J21" s="307">
        <f t="shared" si="6"/>
        <v>0.13305277386922215</v>
      </c>
      <c r="K21" s="307">
        <f t="shared" si="6"/>
        <v>7.5147654908313891E-2</v>
      </c>
      <c r="L21" s="307">
        <f t="shared" si="6"/>
        <v>8.3118719666286867E-2</v>
      </c>
      <c r="M21" s="307">
        <f t="shared" si="6"/>
        <v>8.2300233813447393E-2</v>
      </c>
      <c r="N21" s="307">
        <f t="shared" si="6"/>
        <v>6.8985094306845796E-2</v>
      </c>
      <c r="O21" s="308">
        <f>SUM(C21:N21)</f>
        <v>1</v>
      </c>
    </row>
    <row r="22" spans="1:15">
      <c r="A22" s="28" t="s">
        <v>2</v>
      </c>
      <c r="B22" s="15">
        <v>2024</v>
      </c>
      <c r="C22" s="502">
        <v>82139.67</v>
      </c>
      <c r="D22" s="502">
        <v>118364.87</v>
      </c>
      <c r="E22" s="502">
        <v>127366.77</v>
      </c>
      <c r="F22" s="502">
        <v>126296.59</v>
      </c>
      <c r="G22" s="502">
        <v>143860.31</v>
      </c>
      <c r="H22" s="502">
        <v>122501.21</v>
      </c>
      <c r="I22" s="502">
        <v>120254.83</v>
      </c>
      <c r="J22" s="502">
        <v>191102.12</v>
      </c>
      <c r="K22" s="502">
        <v>121687.93</v>
      </c>
      <c r="L22" s="502">
        <v>123451.05</v>
      </c>
      <c r="M22" s="502">
        <v>117125.06</v>
      </c>
      <c r="N22" s="502">
        <v>113865.72</v>
      </c>
      <c r="O22" s="305">
        <f>SUM(C22:N22)</f>
        <v>1508016.13</v>
      </c>
    </row>
    <row r="23" spans="1:15">
      <c r="A23" s="306" t="s">
        <v>3</v>
      </c>
      <c r="C23" s="307">
        <f>C22/$O$22</f>
        <v>5.4468694575567973E-2</v>
      </c>
      <c r="D23" s="307">
        <f t="shared" ref="D23:N23" si="7">D22/$O$22</f>
        <v>7.8490453547071806E-2</v>
      </c>
      <c r="E23" s="307">
        <f t="shared" si="7"/>
        <v>8.4459819405247355E-2</v>
      </c>
      <c r="F23" s="307">
        <f t="shared" si="7"/>
        <v>8.3750158560969776E-2</v>
      </c>
      <c r="G23" s="307">
        <f t="shared" si="7"/>
        <v>9.5397063160060497E-2</v>
      </c>
      <c r="H23" s="307">
        <f t="shared" si="7"/>
        <v>8.1233355242692276E-2</v>
      </c>
      <c r="I23" s="307">
        <f t="shared" si="7"/>
        <v>7.9743729266344127E-2</v>
      </c>
      <c r="J23" s="307">
        <f t="shared" si="7"/>
        <v>0.12672418828835738</v>
      </c>
      <c r="K23" s="307">
        <f t="shared" si="7"/>
        <v>8.0694050666420922E-2</v>
      </c>
      <c r="L23" s="307">
        <f t="shared" si="7"/>
        <v>8.1863215879527773E-2</v>
      </c>
      <c r="M23" s="307">
        <f t="shared" si="7"/>
        <v>7.7668307168571205E-2</v>
      </c>
      <c r="N23" s="307">
        <f t="shared" si="7"/>
        <v>7.5506964239168986E-2</v>
      </c>
      <c r="O23" s="308">
        <f>SUM(C23:N23)</f>
        <v>1</v>
      </c>
    </row>
    <row r="24" spans="1:15">
      <c r="A24" s="28"/>
      <c r="O24" s="27"/>
    </row>
    <row r="25" spans="1:15">
      <c r="A25" s="28"/>
      <c r="C25" s="334">
        <f>(C21+C23)/2</f>
        <v>5.8082578761145642E-2</v>
      </c>
      <c r="D25" s="334">
        <f t="shared" ref="D25:N25" si="8">(D21+D23)/2</f>
        <v>7.177592390928339E-2</v>
      </c>
      <c r="E25" s="334">
        <f t="shared" si="8"/>
        <v>8.6883638409713665E-2</v>
      </c>
      <c r="F25" s="334">
        <f t="shared" si="8"/>
        <v>7.9430826639939112E-2</v>
      </c>
      <c r="G25" s="334">
        <f t="shared" si="8"/>
        <v>9.2698379189188329E-2</v>
      </c>
      <c r="H25" s="334">
        <f t="shared" si="8"/>
        <v>8.4780045165988333E-2</v>
      </c>
      <c r="I25" s="334">
        <f t="shared" si="8"/>
        <v>8.3818006521660382E-2</v>
      </c>
      <c r="J25" s="334">
        <f t="shared" si="8"/>
        <v>0.12988848107878975</v>
      </c>
      <c r="K25" s="334">
        <f t="shared" si="8"/>
        <v>7.7920852787367406E-2</v>
      </c>
      <c r="L25" s="334">
        <f t="shared" si="8"/>
        <v>8.249096777290732E-2</v>
      </c>
      <c r="M25" s="334">
        <f t="shared" si="8"/>
        <v>7.9984270491009299E-2</v>
      </c>
      <c r="N25" s="334">
        <f t="shared" si="8"/>
        <v>7.2246029273007384E-2</v>
      </c>
      <c r="O25" s="335">
        <f>SUM(C25:N25)</f>
        <v>1</v>
      </c>
    </row>
    <row r="26" spans="1:15">
      <c r="A26" s="28"/>
      <c r="O26" s="27"/>
    </row>
    <row r="27" spans="1:15">
      <c r="A27" s="28"/>
      <c r="C27" s="446" t="s">
        <v>6</v>
      </c>
      <c r="D27" s="446" t="s">
        <v>7</v>
      </c>
      <c r="E27" s="446" t="s">
        <v>8</v>
      </c>
      <c r="O27" s="27"/>
    </row>
    <row r="28" spans="1:15">
      <c r="A28" s="28"/>
      <c r="B28" s="313"/>
      <c r="C28" s="441">
        <f>C9</f>
        <v>4.2460115949388512E-2</v>
      </c>
      <c r="D28" s="441">
        <f>C17</f>
        <v>8.6366573421234605E-2</v>
      </c>
      <c r="E28" s="441">
        <f>C25</f>
        <v>5.8082578761145642E-2</v>
      </c>
      <c r="O28" s="27"/>
    </row>
    <row r="29" spans="1:15">
      <c r="A29" s="28"/>
      <c r="B29" s="313"/>
      <c r="C29" s="334">
        <f>D9</f>
        <v>4.2460115949388512E-2</v>
      </c>
      <c r="D29" s="334">
        <f>+D17</f>
        <v>6.6569242892847158E-2</v>
      </c>
      <c r="E29" s="334">
        <f>D25</f>
        <v>7.177592390928339E-2</v>
      </c>
      <c r="F29" s="307"/>
      <c r="G29" s="307"/>
      <c r="H29" s="307"/>
      <c r="I29" s="307"/>
      <c r="J29" s="307"/>
      <c r="K29" s="307"/>
      <c r="L29" s="307"/>
      <c r="M29" s="307"/>
      <c r="N29" s="307"/>
      <c r="O29" s="333"/>
    </row>
    <row r="30" spans="1:15">
      <c r="A30" s="28"/>
      <c r="B30" s="313"/>
      <c r="C30" s="441">
        <f>E9</f>
        <v>0.53219288223096772</v>
      </c>
      <c r="D30" s="441">
        <f>E17</f>
        <v>7.107007564416587E-2</v>
      </c>
      <c r="E30" s="441">
        <f>E25</f>
        <v>8.6883638409713665E-2</v>
      </c>
      <c r="O30" s="27"/>
    </row>
    <row r="31" spans="1:15">
      <c r="A31" s="28"/>
      <c r="B31" s="313"/>
      <c r="C31" s="334">
        <f>F9</f>
        <v>4.3205958275147047E-2</v>
      </c>
      <c r="D31" s="334">
        <f>F17</f>
        <v>8.7324651535178627E-2</v>
      </c>
      <c r="E31" s="334">
        <f>F25</f>
        <v>7.9430826639939112E-2</v>
      </c>
      <c r="F31" s="307"/>
      <c r="G31" s="307"/>
      <c r="H31" s="307"/>
      <c r="I31" s="307"/>
      <c r="J31" s="307"/>
      <c r="K31" s="307"/>
      <c r="L31" s="307"/>
      <c r="M31" s="307"/>
      <c r="N31" s="307"/>
      <c r="O31" s="333"/>
    </row>
    <row r="32" spans="1:15">
      <c r="A32" s="28"/>
      <c r="B32" s="313"/>
      <c r="C32" s="441">
        <f>G9</f>
        <v>4.2460115949388512E-2</v>
      </c>
      <c r="D32" s="441">
        <f>G17</f>
        <v>0.1041771956064088</v>
      </c>
      <c r="E32" s="441">
        <f>G25</f>
        <v>9.2698379189188329E-2</v>
      </c>
      <c r="O32" s="27"/>
    </row>
    <row r="33" spans="1:16">
      <c r="A33" s="28"/>
      <c r="B33" s="313"/>
      <c r="C33" s="334">
        <f>H9</f>
        <v>4.2460115949388512E-2</v>
      </c>
      <c r="D33" s="334">
        <f>H17</f>
        <v>7.8583796009938894E-2</v>
      </c>
      <c r="E33" s="334">
        <f>H25</f>
        <v>8.4780045165988333E-2</v>
      </c>
      <c r="F33" s="307"/>
      <c r="G33" s="307"/>
      <c r="H33" s="307"/>
      <c r="I33" s="307"/>
      <c r="J33" s="307"/>
      <c r="K33" s="307"/>
      <c r="L33" s="307"/>
      <c r="M33" s="307"/>
      <c r="N33" s="307"/>
      <c r="O33" s="333"/>
      <c r="P33" s="217"/>
    </row>
    <row r="34" spans="1:16">
      <c r="A34" s="28"/>
      <c r="B34" s="313"/>
      <c r="C34" s="441">
        <f>I9</f>
        <v>4.2460115949388512E-2</v>
      </c>
      <c r="D34" s="441">
        <f>I17</f>
        <v>9.0196017733953429E-2</v>
      </c>
      <c r="E34" s="441">
        <f>I25</f>
        <v>8.3818006521660382E-2</v>
      </c>
      <c r="O34" s="27"/>
    </row>
    <row r="35" spans="1:16">
      <c r="A35" s="28"/>
      <c r="B35" s="313"/>
      <c r="C35" s="441">
        <f>J9</f>
        <v>4.2460115949388512E-2</v>
      </c>
      <c r="D35" s="441">
        <f>J17</f>
        <v>0.11609599097524102</v>
      </c>
      <c r="E35" s="441">
        <f>J25</f>
        <v>0.12988848107878975</v>
      </c>
      <c r="O35" s="27"/>
    </row>
    <row r="36" spans="1:16">
      <c r="A36" s="28"/>
      <c r="B36" s="313"/>
      <c r="C36" s="441">
        <f>K9</f>
        <v>4.2460115949388512E-2</v>
      </c>
      <c r="D36" s="441">
        <f>K17</f>
        <v>6.6705637051546682E-2</v>
      </c>
      <c r="E36" s="441">
        <f>K25</f>
        <v>7.7920852787367406E-2</v>
      </c>
      <c r="O36" s="27"/>
    </row>
    <row r="37" spans="1:16">
      <c r="A37" s="28"/>
      <c r="B37" s="313"/>
      <c r="C37" s="334">
        <f>L9</f>
        <v>4.2460115949388512E-2</v>
      </c>
      <c r="D37" s="334">
        <f>L17</f>
        <v>7.2517718603444054E-2</v>
      </c>
      <c r="E37" s="334">
        <f>L25</f>
        <v>8.249096777290732E-2</v>
      </c>
      <c r="F37" s="307"/>
      <c r="G37" s="307"/>
      <c r="H37" s="307"/>
      <c r="I37" s="307"/>
      <c r="J37" s="307"/>
      <c r="K37" s="307"/>
      <c r="L37" s="307"/>
      <c r="M37" s="307"/>
      <c r="N37" s="307"/>
      <c r="O37" s="333"/>
    </row>
    <row r="38" spans="1:16">
      <c r="A38" s="28"/>
      <c r="B38" s="313"/>
      <c r="C38" s="441">
        <f>M9</f>
        <v>4.2460115949388512E-2</v>
      </c>
      <c r="D38" s="441">
        <f>M17</f>
        <v>7.5013655790175854E-2</v>
      </c>
      <c r="E38" s="441">
        <f>M25</f>
        <v>7.9984270491009299E-2</v>
      </c>
      <c r="O38" s="27"/>
    </row>
    <row r="39" spans="1:16">
      <c r="A39" s="28"/>
      <c r="B39" s="313"/>
      <c r="C39" s="334">
        <f>N9</f>
        <v>4.2460115949388512E-2</v>
      </c>
      <c r="D39" s="334">
        <f>N17</f>
        <v>8.5379444735864965E-2</v>
      </c>
      <c r="E39" s="334">
        <f>N25</f>
        <v>7.2246029273007384E-2</v>
      </c>
      <c r="F39" s="307"/>
      <c r="G39" s="307"/>
      <c r="H39" s="307"/>
      <c r="I39" s="307"/>
      <c r="J39" s="307"/>
      <c r="K39" s="307"/>
      <c r="L39" s="307"/>
      <c r="M39" s="307"/>
      <c r="N39" s="307"/>
      <c r="O39" s="333"/>
    </row>
    <row r="40" spans="1:16">
      <c r="A40" s="28"/>
      <c r="B40" s="62"/>
      <c r="C40" s="442">
        <f>O9</f>
        <v>0.99999999999999967</v>
      </c>
      <c r="D40" s="442">
        <f>O17</f>
        <v>1</v>
      </c>
      <c r="E40" s="442">
        <f>O25</f>
        <v>1</v>
      </c>
      <c r="O40" s="27"/>
    </row>
    <row r="41" spans="1:16" ht="13.5" thickBot="1">
      <c r="A41" s="100"/>
      <c r="B41" s="17"/>
      <c r="C41" s="309"/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10"/>
    </row>
    <row r="42" spans="1:16" ht="15.5">
      <c r="A42" s="300" t="s">
        <v>9</v>
      </c>
      <c r="B42" s="30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3"/>
    </row>
    <row r="43" spans="1:16" ht="14.5">
      <c r="A43" s="28"/>
      <c r="C43" s="396" t="str">
        <f>C2</f>
        <v>January</v>
      </c>
      <c r="D43" s="396" t="str">
        <f t="shared" ref="D43:N43" si="9">D2</f>
        <v>February</v>
      </c>
      <c r="E43" s="396" t="str">
        <f t="shared" si="9"/>
        <v>March</v>
      </c>
      <c r="F43" s="396" t="str">
        <f t="shared" si="9"/>
        <v>April</v>
      </c>
      <c r="G43" s="396" t="str">
        <f t="shared" si="9"/>
        <v>May</v>
      </c>
      <c r="H43" s="396" t="str">
        <f t="shared" si="9"/>
        <v>June</v>
      </c>
      <c r="I43" s="396" t="str">
        <f t="shared" si="9"/>
        <v>July</v>
      </c>
      <c r="J43" s="396" t="str">
        <f t="shared" si="9"/>
        <v>August</v>
      </c>
      <c r="K43" s="396" t="str">
        <f t="shared" si="9"/>
        <v>September</v>
      </c>
      <c r="L43" s="396" t="str">
        <f t="shared" si="9"/>
        <v>October</v>
      </c>
      <c r="M43" s="396" t="str">
        <f t="shared" si="9"/>
        <v>November</v>
      </c>
      <c r="N43" s="396" t="str">
        <f t="shared" si="9"/>
        <v>December</v>
      </c>
      <c r="O43" s="27"/>
    </row>
    <row r="44" spans="1:16">
      <c r="A44" s="303" t="s">
        <v>10</v>
      </c>
      <c r="C44" s="304"/>
      <c r="O44" s="27"/>
    </row>
    <row r="45" spans="1:16">
      <c r="A45" s="28" t="s">
        <v>11</v>
      </c>
      <c r="B45" s="15">
        <v>2025</v>
      </c>
      <c r="C45" s="528">
        <v>0.61426499999999995</v>
      </c>
      <c r="D45" s="528">
        <v>0.66853499999999999</v>
      </c>
      <c r="E45" s="528">
        <v>0.66739499999999996</v>
      </c>
      <c r="F45" s="528">
        <v>0.62442399999999998</v>
      </c>
      <c r="G45" s="528">
        <v>0.67221600000000004</v>
      </c>
      <c r="H45" s="528">
        <v>0.62526499999999996</v>
      </c>
      <c r="I45" s="528">
        <v>0.669767</v>
      </c>
      <c r="J45" s="528">
        <v>0.66564599999999996</v>
      </c>
      <c r="K45" s="528">
        <v>0.62903299999999995</v>
      </c>
      <c r="L45" s="528">
        <v>0.65592499999999998</v>
      </c>
      <c r="M45" s="528">
        <v>0.65731200000000001</v>
      </c>
      <c r="N45" s="528">
        <v>0.65439999999999998</v>
      </c>
      <c r="O45" s="308"/>
    </row>
    <row r="46" spans="1:16">
      <c r="A46" s="28" t="s">
        <v>12</v>
      </c>
      <c r="B46" s="15" t="s">
        <v>13</v>
      </c>
      <c r="C46" s="530">
        <v>89775.82</v>
      </c>
      <c r="D46" s="530">
        <v>94616.03</v>
      </c>
      <c r="E46" s="530">
        <v>129918.15</v>
      </c>
      <c r="F46" s="530">
        <v>109231.47</v>
      </c>
      <c r="G46" s="530">
        <v>130864.57</v>
      </c>
      <c r="H46" s="530">
        <v>128537.74</v>
      </c>
      <c r="I46" s="530">
        <v>127686.9</v>
      </c>
      <c r="J46" s="530">
        <v>193175.05</v>
      </c>
      <c r="K46" s="530">
        <v>109082.58</v>
      </c>
      <c r="L46" s="530">
        <v>120536.55</v>
      </c>
      <c r="M46" s="530">
        <v>119098.78</v>
      </c>
      <c r="N46" s="530">
        <v>100232.08</v>
      </c>
      <c r="O46" s="308"/>
    </row>
    <row r="47" spans="1:16">
      <c r="A47" s="28" t="s">
        <v>11</v>
      </c>
      <c r="B47" s="15">
        <v>2024</v>
      </c>
      <c r="C47" s="528">
        <v>0.61188399999999998</v>
      </c>
      <c r="D47" s="528">
        <v>0.64363499999999996</v>
      </c>
      <c r="E47" s="528">
        <v>0.65990599999999999</v>
      </c>
      <c r="F47" s="528">
        <v>0.64669200000000004</v>
      </c>
      <c r="G47" s="528">
        <v>0.67122199999999999</v>
      </c>
      <c r="H47" s="528">
        <v>0.65120800000000001</v>
      </c>
      <c r="I47" s="528">
        <v>0.67346399999999995</v>
      </c>
      <c r="J47" s="528">
        <v>0.65239100000000005</v>
      </c>
      <c r="K47" s="528">
        <v>0.66287700000000005</v>
      </c>
      <c r="L47" s="528">
        <v>0.66042999999999996</v>
      </c>
      <c r="M47" s="528">
        <v>0.66445100000000001</v>
      </c>
      <c r="N47" s="528">
        <v>0.65706200000000003</v>
      </c>
      <c r="O47" s="308"/>
    </row>
    <row r="48" spans="1:16">
      <c r="A48" s="28" t="s">
        <v>12</v>
      </c>
      <c r="B48" s="15" t="s">
        <v>13</v>
      </c>
      <c r="C48" s="530">
        <v>81679.679999999993</v>
      </c>
      <c r="D48" s="530">
        <v>117788.96</v>
      </c>
      <c r="E48" s="530">
        <v>126775.47</v>
      </c>
      <c r="F48" s="530">
        <v>125189.79</v>
      </c>
      <c r="G48" s="530">
        <v>143509.63</v>
      </c>
      <c r="H48" s="530">
        <v>122324.11</v>
      </c>
      <c r="I48" s="530">
        <v>120181.88</v>
      </c>
      <c r="J48" s="530">
        <v>191007.99</v>
      </c>
      <c r="K48" s="530">
        <v>121655.88</v>
      </c>
      <c r="L48" s="530">
        <v>123333.46</v>
      </c>
      <c r="M48" s="530">
        <v>117084.04</v>
      </c>
      <c r="N48" s="530">
        <v>113806.83</v>
      </c>
      <c r="O48" s="27"/>
    </row>
    <row r="49" spans="1:15">
      <c r="A49" s="28"/>
      <c r="O49" s="27"/>
    </row>
    <row r="50" spans="1:15">
      <c r="A50" s="28"/>
      <c r="C50" s="334">
        <f>((C46/(C46+C48))*C45)+((C48/(C46+C48))*C47)</f>
        <v>0.61313071548839204</v>
      </c>
      <c r="D50" s="334">
        <f>((D46/(D46+D48))*D45)+((D48/(D46+D48))*D47)</f>
        <v>0.65472673163493011</v>
      </c>
      <c r="E50" s="334">
        <f>((E46/(E46+E48))*E45)+((E48/(E46+E48))*E47)</f>
        <v>0.66369634362190222</v>
      </c>
      <c r="F50" s="334">
        <f t="shared" ref="F50:N50" si="10">((F46/(F46+F48))*F45)+((F48/(F46+F48))*F47)</f>
        <v>0.63631595145406172</v>
      </c>
      <c r="G50" s="334">
        <f t="shared" si="10"/>
        <v>0.67169609480403047</v>
      </c>
      <c r="H50" s="334">
        <f t="shared" si="10"/>
        <v>0.63791520721855477</v>
      </c>
      <c r="I50" s="334">
        <f t="shared" si="10"/>
        <v>0.67155953075098851</v>
      </c>
      <c r="J50" s="334">
        <f t="shared" si="10"/>
        <v>0.65905588371727708</v>
      </c>
      <c r="K50" s="334">
        <f t="shared" si="10"/>
        <v>0.64687710627825101</v>
      </c>
      <c r="L50" s="334">
        <f t="shared" si="10"/>
        <v>0.65820333359788674</v>
      </c>
      <c r="M50" s="334">
        <f t="shared" si="10"/>
        <v>0.66085105064542793</v>
      </c>
      <c r="N50" s="334">
        <f t="shared" si="10"/>
        <v>0.65581541452187364</v>
      </c>
      <c r="O50" s="308"/>
    </row>
    <row r="51" spans="1:15">
      <c r="A51" s="28"/>
      <c r="O51" s="27"/>
    </row>
    <row r="52" spans="1:15">
      <c r="A52" s="303" t="s">
        <v>14</v>
      </c>
      <c r="C52" s="304"/>
      <c r="O52" s="27"/>
    </row>
    <row r="53" spans="1:15">
      <c r="A53" s="28" t="s">
        <v>11</v>
      </c>
      <c r="B53" s="15">
        <v>2025</v>
      </c>
      <c r="C53" s="529">
        <v>0.78281199999999995</v>
      </c>
      <c r="D53" s="529">
        <v>0.58996899999999997</v>
      </c>
      <c r="E53" s="529">
        <v>0.71742499999999998</v>
      </c>
      <c r="F53" s="529">
        <v>0.69123400000000002</v>
      </c>
      <c r="G53" s="529">
        <v>0.75383599999999995</v>
      </c>
      <c r="H53" s="529">
        <v>0.89736899999999997</v>
      </c>
      <c r="I53" s="529">
        <v>0.975159</v>
      </c>
      <c r="J53" s="529">
        <v>0.94050299999999998</v>
      </c>
      <c r="K53" s="529">
        <v>1</v>
      </c>
      <c r="L53" s="529">
        <v>0.98241299999999998</v>
      </c>
      <c r="M53" s="529">
        <v>0.91823299999999997</v>
      </c>
      <c r="N53" s="529">
        <v>0.930844</v>
      </c>
      <c r="O53" s="308"/>
    </row>
    <row r="54" spans="1:15">
      <c r="A54" s="28" t="s">
        <v>12</v>
      </c>
      <c r="B54" s="15" t="s">
        <v>13</v>
      </c>
      <c r="C54" s="530">
        <v>21.41</v>
      </c>
      <c r="D54" s="530">
        <v>78.75</v>
      </c>
      <c r="E54" s="530">
        <v>66</v>
      </c>
      <c r="F54" s="530">
        <v>90.91</v>
      </c>
      <c r="G54" s="530">
        <v>127.11</v>
      </c>
      <c r="H54" s="530">
        <v>19</v>
      </c>
      <c r="I54" s="530">
        <v>237.51</v>
      </c>
      <c r="J54" s="530">
        <v>479.01</v>
      </c>
      <c r="K54" s="530">
        <v>292.43</v>
      </c>
      <c r="L54" s="530">
        <v>440.09</v>
      </c>
      <c r="M54" s="530">
        <v>686.58</v>
      </c>
      <c r="N54" s="530">
        <v>173.52</v>
      </c>
      <c r="O54" s="308"/>
    </row>
    <row r="55" spans="1:15">
      <c r="A55" s="28" t="s">
        <v>11</v>
      </c>
      <c r="B55" s="15">
        <v>2024</v>
      </c>
      <c r="C55" s="529">
        <v>0.68229799999999996</v>
      </c>
      <c r="D55" s="529">
        <v>0.68340599999999996</v>
      </c>
      <c r="E55" s="529">
        <v>0.723136</v>
      </c>
      <c r="F55" s="529">
        <v>0.67820800000000003</v>
      </c>
      <c r="G55" s="529">
        <v>0.71381399999999995</v>
      </c>
      <c r="H55" s="529">
        <v>0.72055400000000003</v>
      </c>
      <c r="I55" s="529">
        <v>0.75380400000000003</v>
      </c>
      <c r="J55" s="529">
        <v>0.66599399999999997</v>
      </c>
      <c r="K55" s="529">
        <v>0.73603799999999997</v>
      </c>
      <c r="L55" s="529">
        <v>0.67463300000000004</v>
      </c>
      <c r="M55" s="529">
        <v>0.72720700000000005</v>
      </c>
      <c r="N55" s="529">
        <v>0.82221100000000003</v>
      </c>
      <c r="O55" s="308"/>
    </row>
    <row r="56" spans="1:15">
      <c r="A56" s="28" t="s">
        <v>12</v>
      </c>
      <c r="B56" s="15" t="s">
        <v>13</v>
      </c>
      <c r="C56" s="530">
        <v>459.99</v>
      </c>
      <c r="D56" s="530">
        <v>575.91</v>
      </c>
      <c r="E56" s="530">
        <v>591.29999999999995</v>
      </c>
      <c r="F56" s="530">
        <v>1106.8</v>
      </c>
      <c r="G56" s="530">
        <v>350.68</v>
      </c>
      <c r="H56" s="530">
        <v>177.1</v>
      </c>
      <c r="I56" s="530">
        <v>72.95</v>
      </c>
      <c r="J56" s="530">
        <v>94.13</v>
      </c>
      <c r="K56" s="530">
        <v>32.049999999999997</v>
      </c>
      <c r="L56" s="530">
        <v>117.59</v>
      </c>
      <c r="M56" s="530">
        <v>41.02</v>
      </c>
      <c r="N56" s="530">
        <v>58.89</v>
      </c>
      <c r="O56" s="308"/>
    </row>
    <row r="57" spans="1:15">
      <c r="A57" s="28"/>
      <c r="O57" s="27"/>
    </row>
    <row r="58" spans="1:15">
      <c r="A58" s="28"/>
      <c r="C58" s="334">
        <f>((C54/(C54+C56))*C53)+((C56/(C54+C56))*C55)</f>
        <v>0.68676830481927698</v>
      </c>
      <c r="D58" s="334">
        <f>((D54/(D54+D56))*D53)+((D56/(D54+D56))*D55)</f>
        <v>0.67216632788012098</v>
      </c>
      <c r="E58" s="334">
        <f>((E54/(E54+E56))*E53)+((E56/(E54+E56))*E55)</f>
        <v>0.72256255408489278</v>
      </c>
      <c r="F58" s="334">
        <f t="shared" ref="F58:N58" si="11">((F54/(F54+F56))*F53)+((F56/(F54+F56))*F55)</f>
        <v>0.67919671484750066</v>
      </c>
      <c r="G58" s="334">
        <f t="shared" si="11"/>
        <v>0.72446134803993378</v>
      </c>
      <c r="H58" s="334">
        <f t="shared" si="11"/>
        <v>0.73768548903620601</v>
      </c>
      <c r="I58" s="334">
        <f t="shared" si="11"/>
        <v>0.92314635022225089</v>
      </c>
      <c r="J58" s="334">
        <f t="shared" si="11"/>
        <v>0.89541884574449515</v>
      </c>
      <c r="K58" s="334">
        <f t="shared" si="11"/>
        <v>0.97392756995808671</v>
      </c>
      <c r="L58" s="334">
        <f t="shared" si="11"/>
        <v>0.91751583639363077</v>
      </c>
      <c r="M58" s="334">
        <f t="shared" si="11"/>
        <v>0.907463502308961</v>
      </c>
      <c r="N58" s="334">
        <f t="shared" si="11"/>
        <v>0.90331765702852707</v>
      </c>
      <c r="O58" s="308"/>
    </row>
    <row r="59" spans="1:15">
      <c r="A59" s="28"/>
      <c r="O59" s="27"/>
    </row>
    <row r="60" spans="1:15" ht="13.5" thickBot="1">
      <c r="A60" s="28"/>
      <c r="O60" s="27"/>
    </row>
    <row r="61" spans="1:15" ht="13.5" thickBot="1">
      <c r="A61" s="28"/>
      <c r="B61" s="532" t="s">
        <v>15</v>
      </c>
      <c r="C61" s="533"/>
      <c r="F61" s="532" t="s">
        <v>16</v>
      </c>
      <c r="G61" s="533"/>
      <c r="O61" s="27"/>
    </row>
    <row r="62" spans="1:15">
      <c r="A62" s="28"/>
      <c r="C62" s="304" t="s">
        <v>17</v>
      </c>
      <c r="D62" s="304" t="s">
        <v>18</v>
      </c>
      <c r="G62" s="304" t="s">
        <v>17</v>
      </c>
      <c r="H62" s="304" t="s">
        <v>18</v>
      </c>
      <c r="O62" s="27"/>
    </row>
    <row r="63" spans="1:15">
      <c r="A63" s="28"/>
      <c r="B63" s="313" t="s">
        <v>133</v>
      </c>
      <c r="C63" s="442">
        <f>C50</f>
        <v>0.61313071548839204</v>
      </c>
      <c r="D63" s="442">
        <f>C58</f>
        <v>0.68676830481927698</v>
      </c>
      <c r="F63" s="313" t="s">
        <v>133</v>
      </c>
      <c r="G63" s="503">
        <v>0.01</v>
      </c>
      <c r="H63" s="503">
        <v>0.01</v>
      </c>
      <c r="O63" s="27"/>
    </row>
    <row r="64" spans="1:15">
      <c r="A64" s="28"/>
      <c r="B64" s="313" t="s">
        <v>134</v>
      </c>
      <c r="C64" s="443">
        <f>D50</f>
        <v>0.65472673163493011</v>
      </c>
      <c r="D64" s="443">
        <f>D58</f>
        <v>0.67216632788012098</v>
      </c>
      <c r="E64" s="307"/>
      <c r="F64" s="313" t="s">
        <v>134</v>
      </c>
      <c r="G64" s="503">
        <v>0.01</v>
      </c>
      <c r="H64" s="503">
        <v>0.01</v>
      </c>
      <c r="I64" s="307"/>
      <c r="J64" s="307"/>
      <c r="K64" s="307"/>
      <c r="L64" s="307"/>
      <c r="M64" s="307"/>
      <c r="N64" s="307"/>
      <c r="O64" s="27"/>
    </row>
    <row r="65" spans="1:15">
      <c r="A65" s="28"/>
      <c r="B65" s="313" t="s">
        <v>135</v>
      </c>
      <c r="C65" s="442">
        <f>E50</f>
        <v>0.66369634362190222</v>
      </c>
      <c r="D65" s="442">
        <f>E58</f>
        <v>0.72256255408489278</v>
      </c>
      <c r="F65" s="313" t="s">
        <v>135</v>
      </c>
      <c r="G65" s="503">
        <v>0.01</v>
      </c>
      <c r="H65" s="503">
        <v>0.01</v>
      </c>
      <c r="O65" s="27"/>
    </row>
    <row r="66" spans="1:15">
      <c r="A66" s="28"/>
      <c r="B66" s="313" t="s">
        <v>136</v>
      </c>
      <c r="C66" s="443">
        <f>F50</f>
        <v>0.63631595145406172</v>
      </c>
      <c r="D66" s="443">
        <f>F58</f>
        <v>0.67919671484750066</v>
      </c>
      <c r="E66" s="307"/>
      <c r="F66" s="313" t="s">
        <v>136</v>
      </c>
      <c r="G66" s="503">
        <v>0.01</v>
      </c>
      <c r="H66" s="503">
        <v>0.01</v>
      </c>
      <c r="I66" s="307"/>
      <c r="J66" s="307"/>
      <c r="K66" s="307"/>
      <c r="L66" s="307"/>
      <c r="M66" s="307"/>
      <c r="N66" s="307"/>
      <c r="O66" s="27"/>
    </row>
    <row r="67" spans="1:15">
      <c r="A67" s="28"/>
      <c r="B67" s="313" t="s">
        <v>137</v>
      </c>
      <c r="C67" s="442">
        <f>G50</f>
        <v>0.67169609480403047</v>
      </c>
      <c r="D67" s="442">
        <f>G58</f>
        <v>0.72446134803993378</v>
      </c>
      <c r="F67" s="313" t="s">
        <v>137</v>
      </c>
      <c r="G67" s="503">
        <v>0.01</v>
      </c>
      <c r="H67" s="503">
        <v>0.01</v>
      </c>
      <c r="O67" s="27"/>
    </row>
    <row r="68" spans="1:15">
      <c r="A68" s="28"/>
      <c r="B68" s="313" t="s">
        <v>138</v>
      </c>
      <c r="C68" s="443">
        <f>H50</f>
        <v>0.63791520721855477</v>
      </c>
      <c r="D68" s="443">
        <f>H58</f>
        <v>0.73768548903620601</v>
      </c>
      <c r="E68" s="307"/>
      <c r="F68" s="313" t="s">
        <v>138</v>
      </c>
      <c r="G68" s="503">
        <v>0.01</v>
      </c>
      <c r="H68" s="503">
        <v>0.01</v>
      </c>
      <c r="I68" s="307"/>
      <c r="J68" s="307"/>
      <c r="K68" s="307"/>
      <c r="L68" s="307"/>
      <c r="M68" s="307"/>
      <c r="N68" s="307"/>
      <c r="O68" s="308"/>
    </row>
    <row r="69" spans="1:15">
      <c r="A69" s="28"/>
      <c r="B69" s="313" t="s">
        <v>139</v>
      </c>
      <c r="C69" s="442">
        <f>I50</f>
        <v>0.67155953075098851</v>
      </c>
      <c r="D69" s="442">
        <f>I58</f>
        <v>0.92314635022225089</v>
      </c>
      <c r="F69" s="313" t="s">
        <v>139</v>
      </c>
      <c r="G69" s="503">
        <v>0.01</v>
      </c>
      <c r="H69" s="503">
        <v>0.01</v>
      </c>
      <c r="O69" s="27"/>
    </row>
    <row r="70" spans="1:15">
      <c r="A70" s="28"/>
      <c r="B70" s="313" t="s">
        <v>140</v>
      </c>
      <c r="C70" s="442">
        <f>J50</f>
        <v>0.65905588371727708</v>
      </c>
      <c r="D70" s="442">
        <f>J58</f>
        <v>0.89541884574449515</v>
      </c>
      <c r="F70" s="313" t="s">
        <v>140</v>
      </c>
      <c r="G70" s="503">
        <v>0.01</v>
      </c>
      <c r="H70" s="503">
        <v>0.01</v>
      </c>
      <c r="O70" s="27"/>
    </row>
    <row r="71" spans="1:15">
      <c r="A71" s="28"/>
      <c r="B71" s="313" t="s">
        <v>141</v>
      </c>
      <c r="C71" s="442">
        <f>K50</f>
        <v>0.64687710627825101</v>
      </c>
      <c r="D71" s="442">
        <f>K58</f>
        <v>0.97392756995808671</v>
      </c>
      <c r="F71" s="313" t="s">
        <v>141</v>
      </c>
      <c r="G71" s="503">
        <v>0.01</v>
      </c>
      <c r="H71" s="503">
        <v>0.01</v>
      </c>
      <c r="O71" s="27"/>
    </row>
    <row r="72" spans="1:15">
      <c r="A72" s="28"/>
      <c r="B72" s="313" t="s">
        <v>142</v>
      </c>
      <c r="C72" s="443">
        <f>L50</f>
        <v>0.65820333359788674</v>
      </c>
      <c r="D72" s="443">
        <f>L58</f>
        <v>0.91751583639363077</v>
      </c>
      <c r="E72" s="307"/>
      <c r="F72" s="313" t="s">
        <v>142</v>
      </c>
      <c r="G72" s="503">
        <v>0.01</v>
      </c>
      <c r="H72" s="503">
        <v>0.01</v>
      </c>
      <c r="I72" s="307"/>
      <c r="J72" s="307"/>
      <c r="K72" s="307"/>
      <c r="L72" s="307"/>
      <c r="M72" s="307"/>
      <c r="N72" s="307"/>
      <c r="O72" s="27"/>
    </row>
    <row r="73" spans="1:15">
      <c r="A73" s="28"/>
      <c r="B73" s="313" t="s">
        <v>143</v>
      </c>
      <c r="C73" s="442">
        <f>M50</f>
        <v>0.66085105064542793</v>
      </c>
      <c r="D73" s="442">
        <f>M58</f>
        <v>0.907463502308961</v>
      </c>
      <c r="F73" s="313" t="s">
        <v>143</v>
      </c>
      <c r="G73" s="503">
        <v>0.01</v>
      </c>
      <c r="H73" s="503">
        <v>0.01</v>
      </c>
      <c r="O73" s="27"/>
    </row>
    <row r="74" spans="1:15">
      <c r="A74" s="28"/>
      <c r="B74" s="313" t="s">
        <v>144</v>
      </c>
      <c r="C74" s="443">
        <f>N50</f>
        <v>0.65581541452187364</v>
      </c>
      <c r="D74" s="443">
        <f>N58</f>
        <v>0.90331765702852707</v>
      </c>
      <c r="E74" s="307"/>
      <c r="F74" s="313" t="s">
        <v>144</v>
      </c>
      <c r="G74" s="503">
        <v>0.01</v>
      </c>
      <c r="H74" s="503">
        <v>0.01</v>
      </c>
      <c r="I74" s="307"/>
      <c r="J74" s="307"/>
      <c r="K74" s="307"/>
      <c r="L74" s="307"/>
      <c r="M74" s="307"/>
      <c r="N74" s="307"/>
      <c r="O74" s="27"/>
    </row>
    <row r="75" spans="1:15" ht="13.5" thickBot="1">
      <c r="A75" s="100"/>
      <c r="B75" s="17"/>
      <c r="C75" s="311"/>
      <c r="D75" s="311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01"/>
    </row>
    <row r="76" spans="1:15" ht="13.5" thickBot="1">
      <c r="A76" s="52"/>
      <c r="C76" s="217"/>
      <c r="D76" s="217"/>
      <c r="O76" s="23"/>
    </row>
    <row r="77" spans="1:15" ht="13.5" thickBot="1">
      <c r="A77" s="28"/>
      <c r="B77" s="440" t="s">
        <v>290</v>
      </c>
      <c r="C77" s="445"/>
      <c r="D77" s="28"/>
      <c r="O77" s="27"/>
    </row>
    <row r="78" spans="1:15" ht="14.5">
      <c r="A78" s="28"/>
      <c r="C78" s="396" t="str">
        <f t="shared" ref="C78:N78" si="12">C2</f>
        <v>January</v>
      </c>
      <c r="D78" s="396" t="str">
        <f t="shared" si="12"/>
        <v>February</v>
      </c>
      <c r="E78" s="396" t="str">
        <f t="shared" si="12"/>
        <v>March</v>
      </c>
      <c r="F78" s="396" t="str">
        <f t="shared" si="12"/>
        <v>April</v>
      </c>
      <c r="G78" s="396" t="str">
        <f t="shared" si="12"/>
        <v>May</v>
      </c>
      <c r="H78" s="396" t="str">
        <f t="shared" si="12"/>
        <v>June</v>
      </c>
      <c r="I78" s="396" t="str">
        <f t="shared" si="12"/>
        <v>July</v>
      </c>
      <c r="J78" s="396" t="str">
        <f t="shared" si="12"/>
        <v>August</v>
      </c>
      <c r="K78" s="396" t="str">
        <f t="shared" si="12"/>
        <v>September</v>
      </c>
      <c r="L78" s="396" t="str">
        <f t="shared" si="12"/>
        <v>October</v>
      </c>
      <c r="M78" s="396" t="str">
        <f t="shared" si="12"/>
        <v>November</v>
      </c>
      <c r="N78" s="396" t="str">
        <f t="shared" si="12"/>
        <v>December</v>
      </c>
      <c r="O78" s="27"/>
    </row>
    <row r="79" spans="1:15">
      <c r="A79" s="28"/>
      <c r="O79" s="27"/>
    </row>
    <row r="80" spans="1:15">
      <c r="A80" s="392" t="s">
        <v>282</v>
      </c>
      <c r="B80" s="504">
        <v>0.14000000000000001</v>
      </c>
      <c r="C80" s="444">
        <f t="shared" ref="C80:C86" si="13">B80</f>
        <v>0.14000000000000001</v>
      </c>
      <c r="D80" s="444">
        <f t="shared" ref="D80:N80" si="14">C80</f>
        <v>0.14000000000000001</v>
      </c>
      <c r="E80" s="444">
        <f t="shared" si="14"/>
        <v>0.14000000000000001</v>
      </c>
      <c r="F80" s="444">
        <f t="shared" si="14"/>
        <v>0.14000000000000001</v>
      </c>
      <c r="G80" s="444">
        <f t="shared" si="14"/>
        <v>0.14000000000000001</v>
      </c>
      <c r="H80" s="444">
        <f t="shared" si="14"/>
        <v>0.14000000000000001</v>
      </c>
      <c r="I80" s="444">
        <f t="shared" si="14"/>
        <v>0.14000000000000001</v>
      </c>
      <c r="J80" s="444">
        <f t="shared" si="14"/>
        <v>0.14000000000000001</v>
      </c>
      <c r="K80" s="444">
        <f t="shared" si="14"/>
        <v>0.14000000000000001</v>
      </c>
      <c r="L80" s="444">
        <f t="shared" si="14"/>
        <v>0.14000000000000001</v>
      </c>
      <c r="M80" s="444">
        <f t="shared" si="14"/>
        <v>0.14000000000000001</v>
      </c>
      <c r="N80" s="444">
        <f t="shared" si="14"/>
        <v>0.14000000000000001</v>
      </c>
      <c r="O80" s="27"/>
    </row>
    <row r="81" spans="1:15">
      <c r="A81" s="392" t="s">
        <v>283</v>
      </c>
      <c r="B81" s="504">
        <v>0.11</v>
      </c>
      <c r="C81" s="444">
        <f t="shared" si="13"/>
        <v>0.11</v>
      </c>
      <c r="D81" s="444">
        <f t="shared" ref="D81:N81" si="15">C81</f>
        <v>0.11</v>
      </c>
      <c r="E81" s="444">
        <f t="shared" si="15"/>
        <v>0.11</v>
      </c>
      <c r="F81" s="444">
        <f t="shared" si="15"/>
        <v>0.11</v>
      </c>
      <c r="G81" s="444">
        <f t="shared" si="15"/>
        <v>0.11</v>
      </c>
      <c r="H81" s="444">
        <f t="shared" si="15"/>
        <v>0.11</v>
      </c>
      <c r="I81" s="444">
        <f t="shared" si="15"/>
        <v>0.11</v>
      </c>
      <c r="J81" s="444">
        <f t="shared" si="15"/>
        <v>0.11</v>
      </c>
      <c r="K81" s="444">
        <f t="shared" si="15"/>
        <v>0.11</v>
      </c>
      <c r="L81" s="444">
        <f t="shared" si="15"/>
        <v>0.11</v>
      </c>
      <c r="M81" s="444">
        <f t="shared" si="15"/>
        <v>0.11</v>
      </c>
      <c r="N81" s="444">
        <f t="shared" si="15"/>
        <v>0.11</v>
      </c>
      <c r="O81" s="27"/>
    </row>
    <row r="82" spans="1:15">
      <c r="A82" s="392" t="s">
        <v>284</v>
      </c>
      <c r="B82" s="504">
        <v>0.1</v>
      </c>
      <c r="C82" s="444">
        <f t="shared" si="13"/>
        <v>0.1</v>
      </c>
      <c r="D82" s="444">
        <f t="shared" ref="D82:N82" si="16">C82</f>
        <v>0.1</v>
      </c>
      <c r="E82" s="444">
        <f t="shared" si="16"/>
        <v>0.1</v>
      </c>
      <c r="F82" s="444">
        <f t="shared" si="16"/>
        <v>0.1</v>
      </c>
      <c r="G82" s="444">
        <f t="shared" si="16"/>
        <v>0.1</v>
      </c>
      <c r="H82" s="444">
        <f t="shared" si="16"/>
        <v>0.1</v>
      </c>
      <c r="I82" s="444">
        <f t="shared" si="16"/>
        <v>0.1</v>
      </c>
      <c r="J82" s="444">
        <f t="shared" si="16"/>
        <v>0.1</v>
      </c>
      <c r="K82" s="444">
        <f t="shared" si="16"/>
        <v>0.1</v>
      </c>
      <c r="L82" s="444">
        <f t="shared" si="16"/>
        <v>0.1</v>
      </c>
      <c r="M82" s="444">
        <f t="shared" si="16"/>
        <v>0.1</v>
      </c>
      <c r="N82" s="444">
        <f t="shared" si="16"/>
        <v>0.1</v>
      </c>
      <c r="O82" s="27"/>
    </row>
    <row r="83" spans="1:15">
      <c r="A83" s="392" t="s">
        <v>285</v>
      </c>
      <c r="B83" s="504">
        <v>0.11</v>
      </c>
      <c r="C83" s="444">
        <f t="shared" si="13"/>
        <v>0.11</v>
      </c>
      <c r="D83" s="444">
        <f t="shared" ref="D83:N83" si="17">C83</f>
        <v>0.11</v>
      </c>
      <c r="E83" s="444">
        <f t="shared" si="17"/>
        <v>0.11</v>
      </c>
      <c r="F83" s="444">
        <f t="shared" si="17"/>
        <v>0.11</v>
      </c>
      <c r="G83" s="444">
        <f t="shared" si="17"/>
        <v>0.11</v>
      </c>
      <c r="H83" s="444">
        <f t="shared" si="17"/>
        <v>0.11</v>
      </c>
      <c r="I83" s="444">
        <f t="shared" si="17"/>
        <v>0.11</v>
      </c>
      <c r="J83" s="444">
        <f t="shared" si="17"/>
        <v>0.11</v>
      </c>
      <c r="K83" s="444">
        <f t="shared" si="17"/>
        <v>0.11</v>
      </c>
      <c r="L83" s="444">
        <f t="shared" si="17"/>
        <v>0.11</v>
      </c>
      <c r="M83" s="444">
        <f t="shared" si="17"/>
        <v>0.11</v>
      </c>
      <c r="N83" s="444">
        <f t="shared" si="17"/>
        <v>0.11</v>
      </c>
      <c r="O83" s="27"/>
    </row>
    <row r="84" spans="1:15">
      <c r="A84" s="392" t="s">
        <v>286</v>
      </c>
      <c r="B84" s="504">
        <v>0.11</v>
      </c>
      <c r="C84" s="444">
        <f t="shared" si="13"/>
        <v>0.11</v>
      </c>
      <c r="D84" s="444">
        <f t="shared" ref="D84:N84" si="18">C84</f>
        <v>0.11</v>
      </c>
      <c r="E84" s="444">
        <f t="shared" si="18"/>
        <v>0.11</v>
      </c>
      <c r="F84" s="444">
        <f t="shared" si="18"/>
        <v>0.11</v>
      </c>
      <c r="G84" s="444">
        <f t="shared" si="18"/>
        <v>0.11</v>
      </c>
      <c r="H84" s="444">
        <f t="shared" si="18"/>
        <v>0.11</v>
      </c>
      <c r="I84" s="444">
        <f t="shared" si="18"/>
        <v>0.11</v>
      </c>
      <c r="J84" s="444">
        <f t="shared" si="18"/>
        <v>0.11</v>
      </c>
      <c r="K84" s="444">
        <f t="shared" si="18"/>
        <v>0.11</v>
      </c>
      <c r="L84" s="444">
        <f t="shared" si="18"/>
        <v>0.11</v>
      </c>
      <c r="M84" s="444">
        <f t="shared" si="18"/>
        <v>0.11</v>
      </c>
      <c r="N84" s="444">
        <f t="shared" si="18"/>
        <v>0.11</v>
      </c>
      <c r="O84" s="27"/>
    </row>
    <row r="85" spans="1:15">
      <c r="A85" s="392" t="s">
        <v>287</v>
      </c>
      <c r="B85" s="504">
        <v>0.16</v>
      </c>
      <c r="C85" s="444">
        <f t="shared" si="13"/>
        <v>0.16</v>
      </c>
      <c r="D85" s="444">
        <f t="shared" ref="D85:N85" si="19">C85</f>
        <v>0.16</v>
      </c>
      <c r="E85" s="444">
        <f t="shared" si="19"/>
        <v>0.16</v>
      </c>
      <c r="F85" s="444">
        <f t="shared" si="19"/>
        <v>0.16</v>
      </c>
      <c r="G85" s="444">
        <f t="shared" si="19"/>
        <v>0.16</v>
      </c>
      <c r="H85" s="444">
        <f t="shared" si="19"/>
        <v>0.16</v>
      </c>
      <c r="I85" s="444">
        <f t="shared" si="19"/>
        <v>0.16</v>
      </c>
      <c r="J85" s="444">
        <f t="shared" si="19"/>
        <v>0.16</v>
      </c>
      <c r="K85" s="444">
        <f t="shared" si="19"/>
        <v>0.16</v>
      </c>
      <c r="L85" s="444">
        <f t="shared" si="19"/>
        <v>0.16</v>
      </c>
      <c r="M85" s="444">
        <f t="shared" si="19"/>
        <v>0.16</v>
      </c>
      <c r="N85" s="444">
        <f t="shared" si="19"/>
        <v>0.16</v>
      </c>
      <c r="O85" s="27"/>
    </row>
    <row r="86" spans="1:15">
      <c r="A86" s="392" t="s">
        <v>288</v>
      </c>
      <c r="B86" s="504">
        <v>0.23</v>
      </c>
      <c r="C86" s="444">
        <f t="shared" si="13"/>
        <v>0.23</v>
      </c>
      <c r="D86" s="444">
        <f t="shared" ref="D86:N86" si="20">C86</f>
        <v>0.23</v>
      </c>
      <c r="E86" s="444">
        <f t="shared" si="20"/>
        <v>0.23</v>
      </c>
      <c r="F86" s="444">
        <f t="shared" si="20"/>
        <v>0.23</v>
      </c>
      <c r="G86" s="444">
        <f t="shared" si="20"/>
        <v>0.23</v>
      </c>
      <c r="H86" s="444">
        <f t="shared" si="20"/>
        <v>0.23</v>
      </c>
      <c r="I86" s="444">
        <f t="shared" si="20"/>
        <v>0.23</v>
      </c>
      <c r="J86" s="444">
        <f t="shared" si="20"/>
        <v>0.23</v>
      </c>
      <c r="K86" s="444">
        <f t="shared" si="20"/>
        <v>0.23</v>
      </c>
      <c r="L86" s="444">
        <f t="shared" si="20"/>
        <v>0.23</v>
      </c>
      <c r="M86" s="444">
        <f t="shared" si="20"/>
        <v>0.23</v>
      </c>
      <c r="N86" s="444">
        <f t="shared" si="20"/>
        <v>0.23</v>
      </c>
      <c r="O86" s="27"/>
    </row>
    <row r="87" spans="1:15" ht="13.5" thickBot="1">
      <c r="A87" s="394"/>
      <c r="B87" s="393"/>
      <c r="C87" s="393"/>
      <c r="D87" s="393"/>
      <c r="E87" s="393"/>
      <c r="F87" s="393"/>
      <c r="G87" s="393"/>
      <c r="H87" s="393"/>
      <c r="I87" s="393"/>
      <c r="J87" s="393"/>
      <c r="K87" s="393"/>
      <c r="L87" s="393"/>
      <c r="M87" s="393"/>
      <c r="N87" s="393"/>
      <c r="O87" s="395"/>
    </row>
  </sheetData>
  <sheetProtection algorithmName="SHA-512" hashValue="EZdf8GycJwYSAMF4K66NTQu/nraUr5KR3C72/7XK3gfXH13+BPe+CmyOMoHz8WSUTOhVamFuvUBJFsNhqNVhtw==" saltValue="Q2I7eNeeGkcFlJMZqC0knw==" spinCount="100000" sheet="1" selectLockedCells="1"/>
  <mergeCells count="2">
    <mergeCell ref="B61:C61"/>
    <mergeCell ref="F61:G61"/>
  </mergeCells>
  <phoneticPr fontId="2" type="noConversion"/>
  <pageMargins left="0.75" right="0.75" top="1" bottom="1" header="0.5" footer="0.5"/>
  <pageSetup scale="4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92"/>
  <sheetViews>
    <sheetView showGridLines="0" tabSelected="1" topLeftCell="E1" zoomScale="85" zoomScaleNormal="85" zoomScaleSheetLayoutView="75" workbookViewId="0">
      <selection activeCell="T11" sqref="T11"/>
    </sheetView>
  </sheetViews>
  <sheetFormatPr defaultColWidth="12.7265625" defaultRowHeight="13"/>
  <cols>
    <col min="1" max="1" width="9.7265625" style="2" customWidth="1"/>
    <col min="2" max="2" width="23.7265625" style="2" customWidth="1"/>
    <col min="3" max="3" width="13.453125" style="2" customWidth="1"/>
    <col min="4" max="4" width="6.54296875" style="2" customWidth="1"/>
    <col min="5" max="5" width="11.54296875" style="2" customWidth="1"/>
    <col min="6" max="6" width="8.54296875" style="2" customWidth="1"/>
    <col min="7" max="7" width="14" style="2" customWidth="1"/>
    <col min="8" max="8" width="8.54296875" style="2" customWidth="1"/>
    <col min="9" max="9" width="12.81640625" style="2" customWidth="1"/>
    <col min="10" max="10" width="7.453125" style="2" customWidth="1"/>
    <col min="11" max="11" width="19.54296875" style="2" customWidth="1"/>
    <col min="12" max="12" width="17.26953125" style="2" customWidth="1"/>
    <col min="13" max="13" width="10.26953125" style="2" customWidth="1"/>
    <col min="14" max="14" width="11.453125" style="2" customWidth="1"/>
    <col min="15" max="15" width="2.7265625" style="2" customWidth="1"/>
    <col min="16" max="16" width="18" style="2" customWidth="1"/>
    <col min="17" max="17" width="14" style="2" customWidth="1"/>
    <col min="18" max="18" width="12.7265625" style="2" customWidth="1"/>
    <col min="19" max="20" width="13.81640625" style="1" customWidth="1"/>
    <col min="21" max="21" width="4.453125" style="1" customWidth="1"/>
    <col min="22" max="22" width="14" style="1" customWidth="1"/>
    <col min="23" max="23" width="4.453125" style="1" customWidth="1"/>
    <col min="24" max="24" width="13.81640625" style="1" customWidth="1"/>
    <col min="25" max="25" width="4.453125" style="1" customWidth="1"/>
    <col min="26" max="26" width="14" style="1" customWidth="1"/>
    <col min="27" max="27" width="4.54296875" style="1" customWidth="1"/>
    <col min="28" max="16384" width="12.7265625" style="1"/>
  </cols>
  <sheetData>
    <row r="1" spans="1:23" ht="31.5" customHeight="1" thickBot="1">
      <c r="A1" s="397"/>
      <c r="B1" s="397"/>
      <c r="C1" s="397"/>
      <c r="D1" s="1"/>
      <c r="E1" s="1"/>
      <c r="F1" s="1"/>
      <c r="G1" s="1"/>
      <c r="J1" s="16"/>
      <c r="K1" s="16"/>
      <c r="L1" s="16"/>
      <c r="M1" s="16"/>
      <c r="N1" s="16"/>
      <c r="O1" s="16"/>
      <c r="W1" s="17"/>
    </row>
    <row r="2" spans="1:23" ht="18" customHeight="1">
      <c r="A2" s="536" t="s">
        <v>295</v>
      </c>
      <c r="B2" s="536"/>
      <c r="C2" s="536"/>
      <c r="D2" s="536"/>
      <c r="E2" s="536"/>
      <c r="F2" s="536"/>
      <c r="G2" s="536"/>
      <c r="H2" s="536"/>
      <c r="I2" s="537"/>
      <c r="J2" s="19"/>
      <c r="K2" s="20"/>
      <c r="L2" s="20"/>
      <c r="M2" s="20"/>
      <c r="N2" s="20"/>
      <c r="O2" s="20"/>
      <c r="P2" s="21"/>
      <c r="Q2" s="21"/>
      <c r="R2" s="21"/>
      <c r="S2" s="22"/>
      <c r="T2" s="22"/>
      <c r="U2" s="22"/>
      <c r="V2" s="22"/>
      <c r="W2" s="23"/>
    </row>
    <row r="3" spans="1:23" ht="18" customHeight="1">
      <c r="A3" s="541" t="s">
        <v>297</v>
      </c>
      <c r="B3" s="541"/>
      <c r="C3" s="541"/>
      <c r="D3" s="541"/>
      <c r="E3" s="541"/>
      <c r="F3" s="541"/>
      <c r="G3" s="541"/>
      <c r="H3" s="541"/>
      <c r="I3" s="542"/>
      <c r="J3" s="403"/>
      <c r="K3" s="16"/>
      <c r="L3" s="16"/>
      <c r="M3" s="16"/>
      <c r="N3" s="16"/>
      <c r="O3" s="16"/>
      <c r="W3" s="27"/>
    </row>
    <row r="4" spans="1:23" ht="18.5">
      <c r="A4" s="44" t="s">
        <v>19</v>
      </c>
      <c r="B4" s="1"/>
      <c r="C4" s="1"/>
      <c r="D4" s="1"/>
      <c r="E4" s="1"/>
      <c r="F4" s="1"/>
      <c r="G4" s="1"/>
      <c r="J4" s="24" t="s">
        <v>20</v>
      </c>
      <c r="K4" s="16"/>
      <c r="L4" s="25"/>
      <c r="M4" s="26"/>
      <c r="N4" s="16"/>
      <c r="O4" s="16"/>
      <c r="P4" s="1"/>
      <c r="Q4" s="1"/>
      <c r="R4" s="1"/>
      <c r="W4" s="27"/>
    </row>
    <row r="5" spans="1:23">
      <c r="A5" s="1"/>
      <c r="B5" s="1"/>
      <c r="C5" s="1"/>
      <c r="D5" s="1"/>
      <c r="E5" s="1"/>
      <c r="F5" s="1"/>
      <c r="G5" s="1"/>
      <c r="J5" s="28"/>
      <c r="K5" s="1"/>
      <c r="L5" s="1"/>
      <c r="M5" s="1"/>
      <c r="N5" s="1"/>
      <c r="O5" s="1"/>
      <c r="P5" s="1"/>
      <c r="Q5" s="1"/>
      <c r="R5" s="1"/>
      <c r="W5" s="27"/>
    </row>
    <row r="6" spans="1:23" ht="14.5">
      <c r="A6" s="2" t="s">
        <v>21</v>
      </c>
      <c r="C6" s="538" t="s">
        <v>303</v>
      </c>
      <c r="D6" s="538"/>
      <c r="E6" s="16"/>
      <c r="F6" s="16"/>
      <c r="G6" s="16"/>
      <c r="J6" s="30" t="s">
        <v>22</v>
      </c>
      <c r="K6" s="31"/>
      <c r="L6" s="2" t="s">
        <v>23</v>
      </c>
      <c r="M6" s="32">
        <f>T21</f>
        <v>0</v>
      </c>
      <c r="N6" s="32">
        <f>V21</f>
        <v>0</v>
      </c>
      <c r="O6" s="535" t="s">
        <v>24</v>
      </c>
      <c r="P6" s="535"/>
      <c r="Q6" s="33" t="s">
        <v>25</v>
      </c>
      <c r="R6" s="34"/>
      <c r="S6" s="34"/>
      <c r="T6" s="320">
        <v>741</v>
      </c>
      <c r="U6" s="26" t="s">
        <v>26</v>
      </c>
      <c r="W6" s="27"/>
    </row>
    <row r="7" spans="1:23" ht="14.5">
      <c r="A7" s="2" t="s">
        <v>27</v>
      </c>
      <c r="C7" s="538" t="s">
        <v>304</v>
      </c>
      <c r="D7" s="538"/>
      <c r="E7" s="323"/>
      <c r="F7" s="16"/>
      <c r="G7" s="16"/>
      <c r="J7" s="30" t="s">
        <v>28</v>
      </c>
      <c r="K7" s="31"/>
      <c r="M7" s="553">
        <v>0.09</v>
      </c>
      <c r="N7" s="553"/>
      <c r="O7" s="3"/>
      <c r="P7" s="1" t="s">
        <v>29</v>
      </c>
      <c r="Q7" s="33" t="s">
        <v>30</v>
      </c>
      <c r="R7" s="34"/>
      <c r="S7" s="34"/>
      <c r="T7" s="320">
        <v>527</v>
      </c>
      <c r="U7" s="26" t="s">
        <v>26</v>
      </c>
      <c r="W7" s="27"/>
    </row>
    <row r="8" spans="1:23" ht="14">
      <c r="A8" s="2" t="s">
        <v>31</v>
      </c>
      <c r="C8" s="539">
        <v>80726</v>
      </c>
      <c r="D8" s="539"/>
      <c r="E8" s="26"/>
      <c r="G8" s="16"/>
      <c r="J8" s="30" t="s">
        <v>32</v>
      </c>
      <c r="K8" s="1"/>
      <c r="L8" s="1" t="s">
        <v>33</v>
      </c>
      <c r="M8" s="543"/>
      <c r="N8" s="543"/>
      <c r="O8" s="1"/>
      <c r="P8" s="26" t="s">
        <v>26</v>
      </c>
      <c r="Q8" s="1"/>
      <c r="R8" s="34"/>
      <c r="S8" s="34"/>
      <c r="W8" s="27"/>
    </row>
    <row r="9" spans="1:23" ht="14.5">
      <c r="A9" s="2" t="s">
        <v>34</v>
      </c>
      <c r="C9" s="545">
        <v>44561</v>
      </c>
      <c r="D9" s="545"/>
      <c r="E9" s="26"/>
      <c r="F9" s="26"/>
      <c r="G9" s="16"/>
      <c r="J9" s="36" t="s">
        <v>35</v>
      </c>
      <c r="K9" s="37"/>
      <c r="L9" s="1"/>
      <c r="M9" s="547">
        <v>2E-3</v>
      </c>
      <c r="N9" s="547"/>
      <c r="O9" s="3"/>
      <c r="P9" s="1" t="s">
        <v>29</v>
      </c>
      <c r="Q9" s="33" t="s">
        <v>36</v>
      </c>
      <c r="R9" s="33"/>
      <c r="S9" s="370"/>
      <c r="T9" s="320"/>
      <c r="U9" s="26" t="s">
        <v>26</v>
      </c>
      <c r="W9" s="27"/>
    </row>
    <row r="10" spans="1:23" ht="14.5">
      <c r="A10" s="13" t="s">
        <v>37</v>
      </c>
      <c r="B10" s="1"/>
      <c r="C10" s="540" t="s">
        <v>303</v>
      </c>
      <c r="D10" s="540"/>
      <c r="E10" s="324"/>
      <c r="F10" s="1"/>
      <c r="G10" s="1"/>
      <c r="J10" s="39"/>
      <c r="K10" s="1"/>
      <c r="L10" s="1"/>
      <c r="M10"/>
      <c r="N10" s="296"/>
      <c r="O10" s="1"/>
      <c r="P10" s="1"/>
      <c r="Q10" s="33" t="s">
        <v>275</v>
      </c>
      <c r="R10" s="40"/>
      <c r="S10" s="34"/>
      <c r="T10" s="320">
        <v>925</v>
      </c>
      <c r="U10" s="26" t="s">
        <v>26</v>
      </c>
      <c r="W10" s="27"/>
    </row>
    <row r="11" spans="1:23" ht="15.5">
      <c r="A11" s="41"/>
      <c r="B11" s="41"/>
      <c r="C11" s="41"/>
      <c r="D11" s="41"/>
      <c r="E11" s="41"/>
      <c r="F11" s="42"/>
      <c r="G11" s="42"/>
      <c r="J11" s="30" t="s">
        <v>38</v>
      </c>
      <c r="K11" s="31"/>
      <c r="M11" s="553">
        <v>5.5E-2</v>
      </c>
      <c r="N11" s="553"/>
      <c r="O11" s="43"/>
      <c r="P11" s="1" t="s">
        <v>39</v>
      </c>
      <c r="Q11" s="33" t="s">
        <v>40</v>
      </c>
      <c r="R11" s="40"/>
      <c r="S11" s="34"/>
      <c r="T11" s="320"/>
      <c r="U11" s="26" t="s">
        <v>26</v>
      </c>
      <c r="V11" s="16"/>
      <c r="W11" s="27"/>
    </row>
    <row r="12" spans="1:23" ht="15.5">
      <c r="A12" s="44" t="s">
        <v>41</v>
      </c>
      <c r="B12" s="42"/>
      <c r="C12" s="11" t="s">
        <v>42</v>
      </c>
      <c r="D12" s="45"/>
      <c r="E12" s="45"/>
      <c r="F12" s="546" t="s">
        <v>17</v>
      </c>
      <c r="G12" s="546"/>
      <c r="H12" s="544" t="s">
        <v>18</v>
      </c>
      <c r="I12" s="544"/>
      <c r="J12" s="46" t="s">
        <v>43</v>
      </c>
      <c r="K12" s="16"/>
      <c r="L12" s="16"/>
      <c r="M12" s="543"/>
      <c r="N12" s="543"/>
      <c r="O12" s="3"/>
      <c r="P12" s="26" t="s">
        <v>26</v>
      </c>
      <c r="Q12" s="47"/>
      <c r="R12" s="47"/>
      <c r="S12" s="47"/>
      <c r="T12" s="48"/>
      <c r="W12" s="27"/>
    </row>
    <row r="13" spans="1:23" ht="16" thickBot="1">
      <c r="A13" s="1"/>
      <c r="B13" s="42"/>
      <c r="C13" s="49" t="s">
        <v>44</v>
      </c>
      <c r="D13" s="1"/>
      <c r="E13" s="1"/>
      <c r="F13" s="45" t="s">
        <v>45</v>
      </c>
      <c r="G13" s="45" t="s">
        <v>46</v>
      </c>
      <c r="H13" s="45" t="s">
        <v>45</v>
      </c>
      <c r="I13" s="45" t="s">
        <v>46</v>
      </c>
      <c r="J13" s="50" t="s">
        <v>47</v>
      </c>
      <c r="K13" s="16"/>
      <c r="L13" s="16"/>
      <c r="M13" s="547">
        <v>0.05</v>
      </c>
      <c r="N13" s="547"/>
      <c r="O13" s="3"/>
      <c r="P13" s="16" t="s">
        <v>39</v>
      </c>
      <c r="Q13" s="1"/>
      <c r="R13" s="1"/>
      <c r="W13" s="27"/>
    </row>
    <row r="14" spans="1:23" ht="19.5" customHeight="1">
      <c r="A14" s="41"/>
      <c r="B14" s="51" t="s">
        <v>48</v>
      </c>
      <c r="C14" s="506">
        <v>1550000</v>
      </c>
      <c r="D14" s="1"/>
      <c r="E14" s="1"/>
      <c r="F14" s="422">
        <v>0.99</v>
      </c>
      <c r="G14" s="423">
        <f>C14*F14</f>
        <v>1534500</v>
      </c>
      <c r="H14" s="424">
        <f>1-F14</f>
        <v>1.0000000000000009E-2</v>
      </c>
      <c r="I14" s="425">
        <f>H14*C14</f>
        <v>15500.000000000015</v>
      </c>
      <c r="J14" s="46" t="s">
        <v>49</v>
      </c>
      <c r="K14" s="16"/>
      <c r="L14" s="16"/>
      <c r="M14" s="552"/>
      <c r="N14" s="552"/>
      <c r="O14" s="3"/>
      <c r="P14" s="16" t="s">
        <v>39</v>
      </c>
      <c r="Q14" s="52"/>
      <c r="R14" s="22"/>
      <c r="S14" s="22"/>
      <c r="T14" s="22"/>
      <c r="U14" s="22"/>
      <c r="V14" s="22"/>
      <c r="W14" s="23"/>
    </row>
    <row r="15" spans="1:23" ht="18.5">
      <c r="A15" s="41"/>
      <c r="B15" s="51" t="s">
        <v>50</v>
      </c>
      <c r="C15" s="421">
        <f>C14*(1+D15)</f>
        <v>1643000</v>
      </c>
      <c r="D15" s="505">
        <v>0.06</v>
      </c>
      <c r="E15" s="2" t="s">
        <v>51</v>
      </c>
      <c r="F15" s="422">
        <v>0.99</v>
      </c>
      <c r="G15" s="426">
        <f>C15*F15</f>
        <v>1626570</v>
      </c>
      <c r="H15" s="424">
        <f>1-F15</f>
        <v>1.0000000000000009E-2</v>
      </c>
      <c r="I15" s="425">
        <f>H15*C15</f>
        <v>16430.000000000015</v>
      </c>
      <c r="J15" s="36" t="s">
        <v>52</v>
      </c>
      <c r="K15" s="1"/>
      <c r="L15" s="1"/>
      <c r="M15" s="552"/>
      <c r="N15" s="552"/>
      <c r="O15" s="3"/>
      <c r="P15" s="16" t="s">
        <v>39</v>
      </c>
      <c r="Q15" s="53" t="s">
        <v>53</v>
      </c>
      <c r="W15" s="27"/>
    </row>
    <row r="16" spans="1:23" ht="19.5" customHeight="1">
      <c r="A16" s="54"/>
      <c r="B16" s="51" t="s">
        <v>54</v>
      </c>
      <c r="C16" s="421">
        <f>C15*(1+D16)</f>
        <v>1741580</v>
      </c>
      <c r="D16" s="505">
        <v>0.06</v>
      </c>
      <c r="E16" s="2" t="s">
        <v>51</v>
      </c>
      <c r="F16" s="422">
        <v>0.99</v>
      </c>
      <c r="G16" s="426">
        <f>C16*F16</f>
        <v>1724164.2</v>
      </c>
      <c r="H16" s="424">
        <f>1-F16</f>
        <v>1.0000000000000009E-2</v>
      </c>
      <c r="I16" s="425">
        <f>H16*C16</f>
        <v>17415.800000000014</v>
      </c>
      <c r="J16" s="28"/>
      <c r="K16" s="1"/>
      <c r="L16" s="1"/>
      <c r="M16"/>
      <c r="N16" s="296"/>
      <c r="O16" s="1"/>
      <c r="P16" s="1"/>
      <c r="Q16" s="351" t="s">
        <v>55</v>
      </c>
      <c r="W16" s="27"/>
    </row>
    <row r="17" spans="1:29" ht="14">
      <c r="J17" s="46" t="s">
        <v>56</v>
      </c>
      <c r="K17" s="40"/>
      <c r="L17" s="40"/>
      <c r="M17" s="543">
        <v>15800</v>
      </c>
      <c r="N17" s="543"/>
      <c r="O17" s="1"/>
      <c r="P17" s="59" t="s">
        <v>26</v>
      </c>
      <c r="Q17" s="336"/>
      <c r="W17" s="27"/>
    </row>
    <row r="18" spans="1:29" ht="14">
      <c r="A18" s="56" t="s">
        <v>57</v>
      </c>
      <c r="B18" s="57"/>
      <c r="D18" s="58"/>
      <c r="E18" s="58"/>
      <c r="H18" s="57"/>
      <c r="J18" s="46" t="s">
        <v>58</v>
      </c>
      <c r="K18" s="13"/>
      <c r="L18" s="1"/>
      <c r="M18" s="543">
        <v>60</v>
      </c>
      <c r="N18" s="543"/>
      <c r="O18" s="1"/>
      <c r="P18" s="59" t="s">
        <v>26</v>
      </c>
      <c r="Q18" s="61" t="s">
        <v>59</v>
      </c>
      <c r="R18" s="47"/>
      <c r="T18" s="62" t="s">
        <v>60</v>
      </c>
      <c r="U18" s="62"/>
      <c r="V18" s="62" t="s">
        <v>61</v>
      </c>
      <c r="W18" s="27"/>
      <c r="Y18" s="63"/>
      <c r="AA18" s="62"/>
      <c r="AB18" s="62"/>
      <c r="AC18" s="62"/>
    </row>
    <row r="19" spans="1:29" ht="14">
      <c r="C19" s="58" t="s">
        <v>62</v>
      </c>
      <c r="D19" s="58"/>
      <c r="E19" s="58"/>
      <c r="F19" s="58"/>
      <c r="J19" s="68" t="s">
        <v>63</v>
      </c>
      <c r="K19" s="13"/>
      <c r="L19" s="1"/>
      <c r="M19" s="554"/>
      <c r="N19" s="554"/>
      <c r="O19" s="1"/>
      <c r="P19" s="59" t="s">
        <v>26</v>
      </c>
      <c r="Q19" s="69" t="s">
        <v>64</v>
      </c>
      <c r="R19" s="47"/>
      <c r="S19" s="3"/>
      <c r="T19" s="508"/>
      <c r="V19" s="508"/>
      <c r="W19" s="27"/>
      <c r="Y19" s="47"/>
      <c r="AA19" s="70"/>
      <c r="AC19" s="70"/>
    </row>
    <row r="20" spans="1:29" ht="14.5">
      <c r="A20" s="1"/>
      <c r="B20" s="64"/>
      <c r="C20" s="65" t="s">
        <v>65</v>
      </c>
      <c r="D20" s="66"/>
      <c r="F20" s="67"/>
      <c r="I20" s="66"/>
      <c r="J20" s="55"/>
      <c r="M20" s="298"/>
      <c r="N20" s="295"/>
      <c r="P20" s="72"/>
      <c r="Q20" s="69" t="s">
        <v>66</v>
      </c>
      <c r="R20" s="47"/>
      <c r="T20" s="73"/>
      <c r="V20" s="73"/>
      <c r="W20" s="27"/>
      <c r="Y20" s="74"/>
      <c r="Z20" s="76"/>
      <c r="AA20" s="77"/>
      <c r="AC20" s="77"/>
    </row>
    <row r="21" spans="1:29" ht="14.5">
      <c r="B21" s="71" t="s">
        <v>48</v>
      </c>
      <c r="C21" s="507">
        <v>0</v>
      </c>
      <c r="D21" s="3"/>
      <c r="F21" s="3"/>
      <c r="I21" s="1"/>
      <c r="J21" s="46" t="s">
        <v>67</v>
      </c>
      <c r="K21" s="34"/>
      <c r="L21" s="34"/>
      <c r="M21" s="543">
        <v>269</v>
      </c>
      <c r="N21" s="543"/>
      <c r="O21" s="1"/>
      <c r="P21" s="59" t="s">
        <v>26</v>
      </c>
      <c r="Q21" s="79" t="s">
        <v>68</v>
      </c>
      <c r="R21" s="74"/>
      <c r="S21" s="76" t="s">
        <v>69</v>
      </c>
      <c r="T21" s="416">
        <f>T19*C14</f>
        <v>0</v>
      </c>
      <c r="U21" s="7"/>
      <c r="V21" s="416">
        <f>V19*C15</f>
        <v>0</v>
      </c>
      <c r="W21" s="27"/>
      <c r="Y21" s="47"/>
      <c r="AA21" s="80"/>
      <c r="AC21" s="80"/>
    </row>
    <row r="22" spans="1:29" ht="14.5">
      <c r="B22" s="71" t="s">
        <v>50</v>
      </c>
      <c r="C22" s="320">
        <v>0</v>
      </c>
      <c r="D22" s="78"/>
      <c r="F22" s="78"/>
      <c r="G22" s="78"/>
      <c r="J22" s="46" t="s">
        <v>70</v>
      </c>
      <c r="K22" s="16"/>
      <c r="L22" s="16"/>
      <c r="M22" s="543">
        <v>309</v>
      </c>
      <c r="N22" s="543"/>
      <c r="O22" s="1"/>
      <c r="P22" s="59" t="s">
        <v>26</v>
      </c>
      <c r="Q22" s="69"/>
      <c r="R22" s="75"/>
      <c r="S22" s="76"/>
      <c r="T22" s="82"/>
      <c r="V22" s="82"/>
      <c r="W22" s="27"/>
      <c r="Y22" s="74"/>
      <c r="Z22" s="76"/>
      <c r="AA22" s="83"/>
      <c r="AC22" s="83"/>
    </row>
    <row r="23" spans="1:29" ht="14">
      <c r="B23" s="81"/>
      <c r="C23" s="78"/>
      <c r="D23" s="78"/>
      <c r="E23" s="78"/>
      <c r="F23" s="78"/>
      <c r="G23" s="78"/>
      <c r="J23" s="46" t="s">
        <v>71</v>
      </c>
      <c r="K23" s="16"/>
      <c r="L23" s="16"/>
      <c r="M23" s="543">
        <v>476</v>
      </c>
      <c r="N23" s="543"/>
      <c r="O23" s="1"/>
      <c r="P23" s="59" t="s">
        <v>26</v>
      </c>
      <c r="Q23" s="84" t="s">
        <v>72</v>
      </c>
      <c r="W23" s="27"/>
      <c r="Y23" s="85"/>
    </row>
    <row r="24" spans="1:29">
      <c r="B24" s="81"/>
      <c r="C24" s="78"/>
      <c r="D24" s="78"/>
      <c r="E24" s="78"/>
      <c r="F24" s="78"/>
      <c r="G24" s="78"/>
      <c r="J24" s="60"/>
      <c r="M24" s="299"/>
      <c r="N24" s="297"/>
      <c r="P24" s="72"/>
      <c r="Q24" s="87" t="s">
        <v>73</v>
      </c>
      <c r="S24" s="1" t="s">
        <v>74</v>
      </c>
      <c r="T24" s="509"/>
      <c r="U24" s="88"/>
      <c r="V24" s="509"/>
      <c r="W24" s="27"/>
    </row>
    <row r="25" spans="1:29" ht="14">
      <c r="B25" s="81"/>
      <c r="C25" s="58" t="s">
        <v>75</v>
      </c>
      <c r="D25" s="58"/>
      <c r="E25" s="58"/>
      <c r="F25" s="58"/>
      <c r="G25" s="58"/>
      <c r="J25" s="46" t="s">
        <v>76</v>
      </c>
      <c r="K25" s="33"/>
      <c r="L25" s="33"/>
      <c r="M25" s="547">
        <v>0.02</v>
      </c>
      <c r="N25" s="547"/>
      <c r="O25" s="3"/>
      <c r="P25" s="91" t="s">
        <v>39</v>
      </c>
      <c r="Q25" s="87" t="s">
        <v>77</v>
      </c>
      <c r="R25" s="1"/>
      <c r="S25" s="1" t="s">
        <v>69</v>
      </c>
      <c r="T25" s="414">
        <f>T21</f>
        <v>0</v>
      </c>
      <c r="U25" s="70"/>
      <c r="V25" s="414">
        <f>V21</f>
        <v>0</v>
      </c>
      <c r="W25" s="27"/>
    </row>
    <row r="26" spans="1:29" ht="14.5">
      <c r="B26" s="71"/>
      <c r="C26" s="65" t="s">
        <v>65</v>
      </c>
      <c r="D26" s="65"/>
      <c r="E26" s="89" t="s">
        <v>78</v>
      </c>
      <c r="F26" s="89"/>
      <c r="G26" s="90" t="s">
        <v>79</v>
      </c>
      <c r="J26" s="46" t="s">
        <v>272</v>
      </c>
      <c r="K26" s="1"/>
      <c r="L26" s="1"/>
      <c r="M26" s="543">
        <v>108</v>
      </c>
      <c r="N26" s="543"/>
      <c r="O26" s="1"/>
      <c r="P26" s="59" t="s">
        <v>26</v>
      </c>
      <c r="Q26" s="87" t="s">
        <v>80</v>
      </c>
      <c r="R26" s="47"/>
      <c r="S26" s="1" t="s">
        <v>69</v>
      </c>
      <c r="T26" s="417" t="e">
        <f>T25/T24</f>
        <v>#DIV/0!</v>
      </c>
      <c r="U26" s="93"/>
      <c r="V26" s="417" t="e">
        <f>V25/V24</f>
        <v>#DIV/0!</v>
      </c>
      <c r="W26" s="27"/>
      <c r="Y26" s="94"/>
    </row>
    <row r="27" spans="1:29" ht="15" customHeight="1">
      <c r="B27" s="71" t="s">
        <v>48</v>
      </c>
      <c r="C27" s="320">
        <v>60000</v>
      </c>
      <c r="D27" s="92"/>
      <c r="E27" s="321"/>
      <c r="F27" s="89"/>
      <c r="G27" s="322"/>
      <c r="J27" s="46" t="s">
        <v>273</v>
      </c>
      <c r="K27" s="33"/>
      <c r="L27" s="33"/>
      <c r="M27" s="543">
        <v>339</v>
      </c>
      <c r="N27" s="543"/>
      <c r="O27" s="1"/>
      <c r="P27" s="59" t="s">
        <v>26</v>
      </c>
      <c r="Q27" s="87" t="s">
        <v>302</v>
      </c>
      <c r="R27" s="47"/>
      <c r="S27" s="1" t="s">
        <v>74</v>
      </c>
      <c r="T27" s="510"/>
      <c r="U27" s="93"/>
      <c r="V27" s="510"/>
      <c r="W27" s="27"/>
      <c r="Y27" s="47"/>
      <c r="Z27" s="3"/>
      <c r="AA27" s="96"/>
      <c r="AB27" s="96"/>
      <c r="AC27" s="96"/>
    </row>
    <row r="28" spans="1:29" ht="15" customHeight="1">
      <c r="B28" s="71" t="s">
        <v>50</v>
      </c>
      <c r="C28" s="320">
        <v>60000</v>
      </c>
      <c r="D28" s="95"/>
      <c r="E28" s="320"/>
      <c r="F28" s="95"/>
      <c r="G28" s="322"/>
      <c r="J28" s="46" t="s">
        <v>81</v>
      </c>
      <c r="M28" s="543">
        <v>812</v>
      </c>
      <c r="N28" s="543"/>
      <c r="O28" s="16"/>
      <c r="P28" s="59" t="s">
        <v>26</v>
      </c>
      <c r="Q28" s="453"/>
      <c r="R28" s="548" t="s">
        <v>301</v>
      </c>
      <c r="S28" s="548"/>
      <c r="T28" s="548"/>
      <c r="U28" s="548"/>
      <c r="V28" s="548"/>
      <c r="W28" s="27"/>
      <c r="Y28" s="47"/>
    </row>
    <row r="29" spans="1:29" ht="14.5">
      <c r="B29" s="81"/>
      <c r="C29" s="25"/>
      <c r="D29" s="25"/>
      <c r="E29" s="25"/>
      <c r="F29" s="78"/>
      <c r="G29" s="78"/>
      <c r="J29" s="46"/>
      <c r="K29" s="33"/>
      <c r="L29" s="33"/>
      <c r="M29" s="97"/>
      <c r="N29" s="1"/>
      <c r="O29" s="3"/>
      <c r="P29" s="91"/>
      <c r="Q29" s="534" t="s">
        <v>300</v>
      </c>
      <c r="R29" s="535"/>
      <c r="S29" s="452" t="s">
        <v>69</v>
      </c>
      <c r="T29" s="418" t="e">
        <f>C14/(T26+T27)</f>
        <v>#DIV/0!</v>
      </c>
      <c r="U29" s="80"/>
      <c r="V29" s="418" t="e">
        <f>C15/(V26+V27)</f>
        <v>#DIV/0!</v>
      </c>
      <c r="W29" s="27"/>
      <c r="Y29" s="74"/>
      <c r="Z29" s="76"/>
      <c r="AA29" s="98"/>
      <c r="AB29" s="76"/>
      <c r="AC29" s="98"/>
    </row>
    <row r="30" spans="1:29" ht="13.5" thickBot="1">
      <c r="A30" s="35"/>
      <c r="B30" s="35"/>
      <c r="C30" s="29"/>
      <c r="D30" s="29"/>
      <c r="E30" s="29"/>
      <c r="F30" s="35"/>
      <c r="G30" s="99"/>
      <c r="H30" s="35"/>
      <c r="I30" s="35"/>
      <c r="J30" s="100"/>
      <c r="K30" s="17"/>
      <c r="L30" s="17"/>
      <c r="M30" s="17"/>
      <c r="N30" s="17"/>
      <c r="O30" s="17"/>
      <c r="P30" s="101"/>
      <c r="Q30" s="451"/>
      <c r="R30" s="415"/>
      <c r="S30" s="415"/>
      <c r="T30" s="450"/>
      <c r="U30" s="17"/>
      <c r="V30" s="17"/>
      <c r="W30" s="101"/>
    </row>
    <row r="31" spans="1:29" ht="21">
      <c r="A31" s="103" t="s">
        <v>82</v>
      </c>
      <c r="C31" s="16"/>
      <c r="D31" s="16"/>
      <c r="E31" s="16"/>
      <c r="G31" s="104"/>
      <c r="J31" s="16"/>
      <c r="K31" s="16"/>
      <c r="L31" s="105"/>
      <c r="M31" s="16"/>
      <c r="N31" s="16"/>
      <c r="O31" s="16"/>
      <c r="P31" s="106"/>
      <c r="Q31" s="107"/>
      <c r="S31" s="37"/>
    </row>
    <row r="32" spans="1:29" ht="19" thickBot="1">
      <c r="F32" s="108"/>
      <c r="G32" s="108"/>
      <c r="H32" s="108"/>
      <c r="I32" s="108"/>
      <c r="L32" s="109" t="s">
        <v>83</v>
      </c>
      <c r="N32" s="105"/>
      <c r="O32" s="26"/>
      <c r="P32" s="26"/>
      <c r="Q32" s="16"/>
    </row>
    <row r="33" spans="1:25" ht="15" thickBot="1">
      <c r="A33" s="110" t="s">
        <v>84</v>
      </c>
      <c r="C33" s="110"/>
      <c r="D33" s="110"/>
      <c r="E33" s="521">
        <v>42000</v>
      </c>
      <c r="K33" s="10"/>
      <c r="N33" s="105"/>
      <c r="O33" s="26"/>
      <c r="P33" s="26"/>
      <c r="Q33" s="81"/>
      <c r="S33" s="2"/>
    </row>
    <row r="34" spans="1:25" ht="18.5">
      <c r="A34" s="111"/>
      <c r="B34" s="112"/>
      <c r="C34" s="111"/>
      <c r="D34" s="111"/>
      <c r="E34" s="111"/>
      <c r="F34" s="1"/>
      <c r="G34" s="1"/>
      <c r="H34" s="1"/>
      <c r="I34" s="1"/>
      <c r="N34" s="105"/>
      <c r="O34" s="26"/>
      <c r="P34" s="26"/>
      <c r="Q34" s="81"/>
      <c r="S34" s="113" t="s">
        <v>85</v>
      </c>
      <c r="T34" s="86"/>
      <c r="U34" s="114"/>
      <c r="V34" s="114"/>
      <c r="W34" s="114"/>
      <c r="X34" s="114"/>
      <c r="Y34" s="115"/>
    </row>
    <row r="35" spans="1:25" ht="15.75" customHeight="1" thickBot="1">
      <c r="A35" s="116" t="s">
        <v>86</v>
      </c>
      <c r="B35" s="1"/>
      <c r="C35" s="1"/>
      <c r="D35" s="1"/>
      <c r="E35" s="1"/>
      <c r="F35" s="1"/>
      <c r="G35" s="1"/>
      <c r="H35" s="1"/>
      <c r="I35" s="1"/>
      <c r="L35" s="44"/>
      <c r="P35" s="314"/>
      <c r="R35" s="66"/>
      <c r="S35" s="18"/>
      <c r="T35" s="2"/>
      <c r="Y35" s="117"/>
    </row>
    <row r="36" spans="1:25" ht="15.75" customHeight="1" thickBot="1">
      <c r="L36" s="549" t="s">
        <v>87</v>
      </c>
      <c r="M36" s="550"/>
      <c r="N36" s="550"/>
      <c r="O36" s="550"/>
      <c r="P36" s="550"/>
      <c r="Q36" s="551"/>
      <c r="R36" s="118"/>
      <c r="S36" s="119" t="s">
        <v>88</v>
      </c>
      <c r="T36" s="155" t="s">
        <v>89</v>
      </c>
      <c r="U36" s="120"/>
      <c r="V36" s="120" t="s">
        <v>90</v>
      </c>
      <c r="X36" s="120" t="s">
        <v>91</v>
      </c>
      <c r="Y36" s="117"/>
    </row>
    <row r="37" spans="1:25" ht="15.75" customHeight="1" thickBot="1">
      <c r="A37" s="121" t="s">
        <v>92</v>
      </c>
      <c r="B37" s="20"/>
      <c r="C37" s="20"/>
      <c r="D37" s="122"/>
      <c r="E37" s="123" t="s">
        <v>93</v>
      </c>
      <c r="F37" s="21"/>
      <c r="G37" s="21"/>
      <c r="H37" s="21"/>
      <c r="I37" s="21"/>
      <c r="J37" s="124"/>
      <c r="L37" s="531"/>
      <c r="M37" s="531"/>
      <c r="N37" s="531"/>
      <c r="O37" s="531"/>
      <c r="P37" s="531" t="s">
        <v>94</v>
      </c>
      <c r="Q37" s="531" t="s">
        <v>95</v>
      </c>
      <c r="R37" s="381">
        <v>1</v>
      </c>
      <c r="S37" s="457" t="s">
        <v>133</v>
      </c>
      <c r="T37" s="447">
        <f>Indices_Margins!C25</f>
        <v>5.8082578761145642E-2</v>
      </c>
      <c r="U37" s="345"/>
      <c r="V37" s="448">
        <f>Indices_Margins!C28</f>
        <v>4.2460115949388512E-2</v>
      </c>
      <c r="W37" s="344"/>
      <c r="X37" s="448">
        <f>Indices_Margins!C17</f>
        <v>8.6366573421234605E-2</v>
      </c>
      <c r="Y37" s="117"/>
    </row>
    <row r="38" spans="1:25" ht="15.75" customHeight="1" thickBot="1">
      <c r="A38" s="55" t="s">
        <v>96</v>
      </c>
      <c r="B38" s="127"/>
      <c r="C38" s="389"/>
      <c r="D38" s="128"/>
      <c r="E38" s="60"/>
      <c r="F38" s="15" t="s">
        <v>97</v>
      </c>
      <c r="G38" s="514"/>
      <c r="I38" s="515"/>
      <c r="J38" s="129"/>
      <c r="L38" s="110" t="s">
        <v>98</v>
      </c>
      <c r="N38" s="105"/>
      <c r="P38" s="406">
        <v>26</v>
      </c>
      <c r="Q38" s="405">
        <f>'P&amp;LY1'!O20/Input!P45</f>
        <v>1413.1280854530396</v>
      </c>
      <c r="R38" s="381">
        <v>2</v>
      </c>
      <c r="S38" s="457" t="s">
        <v>134</v>
      </c>
      <c r="T38" s="447">
        <f>Indices_Margins!D25</f>
        <v>7.177592390928339E-2</v>
      </c>
      <c r="U38" s="345"/>
      <c r="V38" s="448">
        <f>Indices_Margins!C29</f>
        <v>4.2460115949388512E-2</v>
      </c>
      <c r="W38" s="344"/>
      <c r="X38" s="448">
        <f>Indices_Margins!D17</f>
        <v>6.6569242892847158E-2</v>
      </c>
      <c r="Y38" s="117"/>
    </row>
    <row r="39" spans="1:25" ht="15.75" customHeight="1" thickBot="1">
      <c r="A39" s="55" t="s">
        <v>99</v>
      </c>
      <c r="B39" s="127"/>
      <c r="C39" s="371"/>
      <c r="D39" s="131"/>
      <c r="J39" s="72"/>
      <c r="P39" s="70"/>
      <c r="Q39" s="66"/>
      <c r="R39" s="381">
        <v>3</v>
      </c>
      <c r="S39" s="457" t="s">
        <v>135</v>
      </c>
      <c r="T39" s="447">
        <f>Indices_Margins!E25</f>
        <v>8.6883638409713665E-2</v>
      </c>
      <c r="U39" s="345"/>
      <c r="V39" s="448">
        <f>Indices_Margins!C30</f>
        <v>0.53219288223096772</v>
      </c>
      <c r="W39" s="344"/>
      <c r="X39" s="448">
        <f>Indices_Margins!E17</f>
        <v>7.107007564416587E-2</v>
      </c>
      <c r="Y39" s="117"/>
    </row>
    <row r="40" spans="1:25" ht="15.75" customHeight="1" thickBot="1">
      <c r="A40" s="55" t="s">
        <v>100</v>
      </c>
      <c r="B40" s="127"/>
      <c r="C40" s="390"/>
      <c r="D40" s="132"/>
      <c r="E40" s="2" t="s">
        <v>101</v>
      </c>
      <c r="G40" s="516"/>
      <c r="I40" s="518"/>
      <c r="J40" s="72"/>
      <c r="L40" s="130" t="s">
        <v>102</v>
      </c>
      <c r="M40" s="110"/>
      <c r="N40" s="105"/>
      <c r="P40" s="406">
        <v>98250</v>
      </c>
      <c r="Q40" s="405">
        <f>'P&amp;LY1'!O16/Input!P47</f>
        <v>106189.7793754295</v>
      </c>
      <c r="R40" s="381">
        <v>4</v>
      </c>
      <c r="S40" s="457" t="s">
        <v>136</v>
      </c>
      <c r="T40" s="447">
        <f>Indices_Margins!F25</f>
        <v>7.9430826639939112E-2</v>
      </c>
      <c r="U40" s="345"/>
      <c r="V40" s="448">
        <f>Indices_Margins!C31</f>
        <v>4.3205958275147047E-2</v>
      </c>
      <c r="W40" s="344"/>
      <c r="X40" s="448">
        <f>Indices_Margins!F17</f>
        <v>8.7324651535178627E-2</v>
      </c>
      <c r="Y40" s="117"/>
    </row>
    <row r="41" spans="1:25" ht="15.75" customHeight="1">
      <c r="A41" s="55" t="s">
        <v>103</v>
      </c>
      <c r="B41" s="127"/>
      <c r="C41" s="419">
        <f>IF(C38=0,0,PMT(C39/12,C40*12,-C38))</f>
        <v>0</v>
      </c>
      <c r="D41" s="133"/>
      <c r="E41" s="2" t="s">
        <v>99</v>
      </c>
      <c r="G41" s="517"/>
      <c r="H41" s="11"/>
      <c r="I41" s="519"/>
      <c r="J41" s="72"/>
      <c r="Q41" s="16"/>
      <c r="R41" s="381">
        <v>5</v>
      </c>
      <c r="S41" s="457" t="s">
        <v>137</v>
      </c>
      <c r="T41" s="447">
        <f>Indices_Margins!G25</f>
        <v>9.2698379189188329E-2</v>
      </c>
      <c r="U41" s="345"/>
      <c r="V41" s="448">
        <f>Indices_Margins!C32</f>
        <v>4.2460115949388512E-2</v>
      </c>
      <c r="W41" s="344"/>
      <c r="X41" s="448">
        <f>Indices_Margins!G17</f>
        <v>0.1041771956064088</v>
      </c>
      <c r="Y41" s="117"/>
    </row>
    <row r="42" spans="1:25" ht="15.75" customHeight="1">
      <c r="A42" s="55" t="s">
        <v>104</v>
      </c>
      <c r="B42" s="144"/>
      <c r="C42" s="520"/>
      <c r="D42" s="133"/>
      <c r="E42" s="1"/>
      <c r="J42" s="72"/>
      <c r="L42" s="31" t="s">
        <v>105</v>
      </c>
      <c r="P42" s="428">
        <v>0</v>
      </c>
      <c r="Q42" s="2" t="s">
        <v>106</v>
      </c>
      <c r="R42" s="381">
        <v>6</v>
      </c>
      <c r="S42" s="457" t="s">
        <v>138</v>
      </c>
      <c r="T42" s="447">
        <f>Indices_Margins!H25</f>
        <v>8.4780045165988333E-2</v>
      </c>
      <c r="U42" s="345"/>
      <c r="V42" s="448">
        <f>Indices_Margins!C33</f>
        <v>4.2460115949388512E-2</v>
      </c>
      <c r="W42" s="344"/>
      <c r="X42" s="448">
        <f>Indices_Margins!H17</f>
        <v>7.8583796009938894E-2</v>
      </c>
      <c r="Y42" s="117"/>
    </row>
    <row r="43" spans="1:25" ht="15.75" customHeight="1" thickBot="1">
      <c r="A43" s="134" t="s">
        <v>281</v>
      </c>
      <c r="B43" s="555" t="s">
        <v>305</v>
      </c>
      <c r="C43" s="555"/>
      <c r="D43" s="404"/>
      <c r="E43" s="81" t="s">
        <v>107</v>
      </c>
      <c r="J43" s="72"/>
      <c r="L43" s="31" t="s">
        <v>108</v>
      </c>
      <c r="M43" s="107"/>
      <c r="P43" s="428">
        <v>1.2500000000000001E-2</v>
      </c>
      <c r="Q43" s="1" t="s">
        <v>109</v>
      </c>
      <c r="R43" s="381">
        <v>7</v>
      </c>
      <c r="S43" s="457" t="s">
        <v>139</v>
      </c>
      <c r="T43" s="447">
        <f>Indices_Margins!I25</f>
        <v>8.3818006521660382E-2</v>
      </c>
      <c r="U43" s="345"/>
      <c r="V43" s="448">
        <f>Indices_Margins!C34</f>
        <v>4.2460115949388512E-2</v>
      </c>
      <c r="W43" s="344"/>
      <c r="X43" s="448">
        <f>Indices_Margins!I17</f>
        <v>9.0196017733953429E-2</v>
      </c>
      <c r="Y43" s="117"/>
    </row>
    <row r="44" spans="1:25" ht="15.75" customHeight="1">
      <c r="A44" s="135" t="s">
        <v>110</v>
      </c>
      <c r="C44" s="387"/>
      <c r="D44" s="72"/>
      <c r="E44" s="2" t="s">
        <v>111</v>
      </c>
      <c r="J44" s="72"/>
      <c r="O44" s="1"/>
      <c r="P44" s="1"/>
      <c r="R44" s="381">
        <v>8</v>
      </c>
      <c r="S44" s="457" t="s">
        <v>140</v>
      </c>
      <c r="T44" s="447">
        <f>Indices_Margins!J25</f>
        <v>0.12988848107878975</v>
      </c>
      <c r="U44" s="345"/>
      <c r="V44" s="448">
        <f>Indices_Margins!C35</f>
        <v>4.2460115949388512E-2</v>
      </c>
      <c r="W44" s="344"/>
      <c r="X44" s="448">
        <f>Indices_Margins!J17</f>
        <v>0.11609599097524102</v>
      </c>
      <c r="Y44" s="117"/>
    </row>
    <row r="45" spans="1:25" ht="15.75" customHeight="1">
      <c r="A45" s="55" t="s">
        <v>112</v>
      </c>
      <c r="B45" s="127"/>
      <c r="C45" s="516">
        <v>36000</v>
      </c>
      <c r="D45" s="136"/>
      <c r="E45" s="137">
        <f>C9</f>
        <v>44561</v>
      </c>
      <c r="G45" s="512"/>
      <c r="H45" s="1"/>
      <c r="I45" s="513"/>
      <c r="J45" s="72"/>
      <c r="L45" s="139" t="s">
        <v>113</v>
      </c>
      <c r="M45" s="107"/>
      <c r="P45" s="427">
        <v>2</v>
      </c>
      <c r="Q45" s="140" t="s">
        <v>114</v>
      </c>
      <c r="R45" s="381">
        <v>9</v>
      </c>
      <c r="S45" s="457" t="s">
        <v>141</v>
      </c>
      <c r="T45" s="447">
        <f>Indices_Margins!K25</f>
        <v>7.7920852787367406E-2</v>
      </c>
      <c r="U45" s="345"/>
      <c r="V45" s="448">
        <f>Indices_Margins!C36</f>
        <v>4.2460115949388512E-2</v>
      </c>
      <c r="W45" s="344"/>
      <c r="X45" s="448">
        <f>Indices_Margins!K17</f>
        <v>6.6705637051546682E-2</v>
      </c>
      <c r="Y45" s="117"/>
    </row>
    <row r="46" spans="1:25" ht="15.75" customHeight="1">
      <c r="A46" s="55" t="s">
        <v>99</v>
      </c>
      <c r="B46" s="127"/>
      <c r="C46" s="388"/>
      <c r="D46" s="138"/>
      <c r="E46" s="137">
        <f>E45+31</f>
        <v>44592</v>
      </c>
      <c r="G46" s="512"/>
      <c r="H46" s="1"/>
      <c r="I46" s="513"/>
      <c r="J46" s="72"/>
      <c r="L46" s="106"/>
      <c r="M46" s="107"/>
      <c r="P46" s="142"/>
      <c r="Q46" s="142"/>
      <c r="R46" s="381">
        <v>10</v>
      </c>
      <c r="S46" s="457" t="s">
        <v>142</v>
      </c>
      <c r="T46" s="447">
        <f>Indices_Margins!L25</f>
        <v>8.249096777290732E-2</v>
      </c>
      <c r="U46" s="345"/>
      <c r="V46" s="448">
        <f>Indices_Margins!C37</f>
        <v>4.2460115949388512E-2</v>
      </c>
      <c r="W46" s="344"/>
      <c r="X46" s="448">
        <f>Indices_Margins!L17</f>
        <v>7.2517718603444054E-2</v>
      </c>
      <c r="Y46" s="117"/>
    </row>
    <row r="47" spans="1:25" ht="15.75" customHeight="1">
      <c r="A47" s="55" t="s">
        <v>115</v>
      </c>
      <c r="B47" s="127"/>
      <c r="C47" s="420">
        <f>(C45*C46)/12</f>
        <v>0</v>
      </c>
      <c r="D47" s="141"/>
      <c r="E47" s="137">
        <f t="shared" ref="E47:E56" si="0">E46+31</f>
        <v>44623</v>
      </c>
      <c r="G47" s="512"/>
      <c r="H47" s="1"/>
      <c r="I47" s="513"/>
      <c r="J47" s="72"/>
      <c r="L47" s="139" t="s">
        <v>116</v>
      </c>
      <c r="M47" s="107"/>
      <c r="P47" s="427">
        <v>5</v>
      </c>
      <c r="Q47" s="140" t="s">
        <v>114</v>
      </c>
      <c r="R47" s="381">
        <v>11</v>
      </c>
      <c r="S47" s="457" t="s">
        <v>143</v>
      </c>
      <c r="T47" s="447">
        <f>Indices_Margins!M25</f>
        <v>7.9984270491009299E-2</v>
      </c>
      <c r="U47" s="345"/>
      <c r="V47" s="448">
        <f>Indices_Margins!C38</f>
        <v>4.2460115949388512E-2</v>
      </c>
      <c r="W47" s="344"/>
      <c r="X47" s="448">
        <f>Indices_Margins!M17</f>
        <v>7.5013655790175854E-2</v>
      </c>
      <c r="Y47" s="117"/>
    </row>
    <row r="48" spans="1:25" ht="15.75" customHeight="1">
      <c r="A48" s="127" t="s">
        <v>281</v>
      </c>
      <c r="B48" s="556" t="s">
        <v>306</v>
      </c>
      <c r="C48" s="556"/>
      <c r="D48" s="143"/>
      <c r="E48" s="137">
        <f t="shared" si="0"/>
        <v>44654</v>
      </c>
      <c r="G48" s="512"/>
      <c r="H48" s="1"/>
      <c r="I48" s="513"/>
      <c r="J48" s="72"/>
      <c r="L48" s="106"/>
      <c r="M48" s="107"/>
      <c r="N48" s="37"/>
      <c r="O48" s="1"/>
      <c r="P48" s="1"/>
      <c r="R48" s="381">
        <v>12</v>
      </c>
      <c r="S48" s="457" t="s">
        <v>144</v>
      </c>
      <c r="T48" s="447">
        <f>Indices_Margins!N25</f>
        <v>7.2246029273007384E-2</v>
      </c>
      <c r="U48" s="345"/>
      <c r="V48" s="448">
        <f>Indices_Margins!C39</f>
        <v>4.2460115949388512E-2</v>
      </c>
      <c r="W48" s="344"/>
      <c r="X48" s="448">
        <f>Indices_Margins!N17</f>
        <v>8.5379444735864965E-2</v>
      </c>
      <c r="Y48" s="117"/>
    </row>
    <row r="49" spans="1:28" ht="15.75" customHeight="1" thickBot="1">
      <c r="A49" s="55"/>
      <c r="B49" s="144"/>
      <c r="C49" s="145"/>
      <c r="D49" s="143"/>
      <c r="E49" s="137">
        <f t="shared" si="0"/>
        <v>44685</v>
      </c>
      <c r="G49" s="512"/>
      <c r="H49" s="1"/>
      <c r="I49" s="513"/>
      <c r="J49" s="72"/>
      <c r="L49" s="106"/>
      <c r="M49" s="107"/>
      <c r="N49" s="37"/>
      <c r="O49" s="1"/>
      <c r="P49" s="1"/>
      <c r="R49" s="382"/>
      <c r="S49" s="325" t="s">
        <v>117</v>
      </c>
      <c r="T49" s="347">
        <f>SUM(T37:T48)</f>
        <v>1</v>
      </c>
      <c r="U49" s="291"/>
      <c r="V49" s="347" t="b">
        <f>C9=SUM(V37:V48)</f>
        <v>0</v>
      </c>
      <c r="W49" s="347"/>
      <c r="X49" s="347">
        <f>SUM(X37:X48)</f>
        <v>1</v>
      </c>
      <c r="Y49" s="117"/>
      <c r="Z49" s="347"/>
    </row>
    <row r="50" spans="1:28" ht="15.75" customHeight="1" thickBot="1">
      <c r="A50" s="134"/>
      <c r="B50" s="147"/>
      <c r="C50" s="148"/>
      <c r="D50" s="149"/>
      <c r="E50" s="137">
        <f t="shared" si="0"/>
        <v>44716</v>
      </c>
      <c r="G50" s="512"/>
      <c r="H50" s="1"/>
      <c r="I50" s="513"/>
      <c r="J50" s="72"/>
      <c r="L50" s="549" t="s">
        <v>50</v>
      </c>
      <c r="M50" s="550"/>
      <c r="N50" s="550"/>
      <c r="O50" s="550"/>
      <c r="P50" s="550"/>
      <c r="Q50" s="551"/>
      <c r="R50" s="382"/>
      <c r="S50" s="150"/>
      <c r="T50" s="151"/>
      <c r="U50" s="102"/>
      <c r="V50" s="151"/>
      <c r="W50" s="102"/>
      <c r="X50" s="102"/>
      <c r="Y50" s="152"/>
    </row>
    <row r="51" spans="1:28" ht="20.25" customHeight="1" thickBot="1">
      <c r="A51" s="121" t="s">
        <v>118</v>
      </c>
      <c r="B51" s="21"/>
      <c r="C51" s="21"/>
      <c r="D51" s="153"/>
      <c r="E51" s="137">
        <f t="shared" si="0"/>
        <v>44747</v>
      </c>
      <c r="G51" s="512"/>
      <c r="H51" s="1"/>
      <c r="I51" s="513"/>
      <c r="J51" s="72"/>
      <c r="L51" s="106"/>
      <c r="O51" s="1"/>
      <c r="P51" s="1"/>
      <c r="R51" s="383"/>
      <c r="S51" s="349" t="s">
        <v>119</v>
      </c>
      <c r="T51" s="114"/>
      <c r="U51" s="114"/>
      <c r="V51" s="114"/>
      <c r="W51" s="115"/>
    </row>
    <row r="52" spans="1:28" ht="15.75" customHeight="1" thickBot="1">
      <c r="A52" s="55" t="s">
        <v>96</v>
      </c>
      <c r="C52" s="372"/>
      <c r="D52" s="154"/>
      <c r="E52" s="137">
        <f t="shared" si="0"/>
        <v>44778</v>
      </c>
      <c r="G52" s="512"/>
      <c r="H52" s="1"/>
      <c r="I52" s="513"/>
      <c r="J52" s="72"/>
      <c r="L52" s="110" t="s">
        <v>120</v>
      </c>
      <c r="N52" s="105"/>
      <c r="P52" s="319">
        <f>'P&amp;LY2'!O20/Input!P59</f>
        <v>1415.765770580221</v>
      </c>
      <c r="R52" s="384"/>
      <c r="S52" s="346" t="s">
        <v>60</v>
      </c>
      <c r="T52" s="155" t="s">
        <v>121</v>
      </c>
      <c r="U52" s="155"/>
      <c r="V52" s="155" t="s">
        <v>122</v>
      </c>
      <c r="W52" s="117"/>
    </row>
    <row r="53" spans="1:28" ht="15.75" customHeight="1" thickBot="1">
      <c r="A53" s="55" t="s">
        <v>99</v>
      </c>
      <c r="C53" s="371"/>
      <c r="D53" s="156"/>
      <c r="E53" s="137">
        <f t="shared" si="0"/>
        <v>44809</v>
      </c>
      <c r="G53" s="512"/>
      <c r="H53" s="1"/>
      <c r="I53" s="513"/>
      <c r="J53" s="72"/>
      <c r="P53" s="70"/>
      <c r="R53" s="381">
        <v>1</v>
      </c>
      <c r="S53" s="454" t="s">
        <v>133</v>
      </c>
      <c r="T53" s="448">
        <f>Indices_Margins!C63</f>
        <v>0.61313071548839204</v>
      </c>
      <c r="U53" s="345"/>
      <c r="V53" s="449">
        <f>Indices_Margins!D63</f>
        <v>0.68676830481927698</v>
      </c>
      <c r="W53" s="117"/>
    </row>
    <row r="54" spans="1:28" ht="15.75" customHeight="1" thickBot="1">
      <c r="A54" s="55" t="s">
        <v>123</v>
      </c>
      <c r="C54" s="373"/>
      <c r="D54" s="91"/>
      <c r="E54" s="137">
        <f t="shared" si="0"/>
        <v>44840</v>
      </c>
      <c r="G54" s="512"/>
      <c r="H54" s="1"/>
      <c r="I54" s="513"/>
      <c r="J54" s="72"/>
      <c r="L54" s="130" t="s">
        <v>124</v>
      </c>
      <c r="M54" s="110"/>
      <c r="N54" s="105"/>
      <c r="P54" s="319">
        <f>'P&amp;LY2'!O16/Input!P61</f>
        <v>109308.02613795528</v>
      </c>
      <c r="Q54" s="26"/>
      <c r="R54" s="381">
        <v>2</v>
      </c>
      <c r="S54" s="454" t="s">
        <v>134</v>
      </c>
      <c r="T54" s="448">
        <f>Indices_Margins!C64</f>
        <v>0.65472673163493011</v>
      </c>
      <c r="U54" s="345"/>
      <c r="V54" s="449">
        <f>Indices_Margins!D64</f>
        <v>0.67216632788012098</v>
      </c>
      <c r="W54" s="117"/>
    </row>
    <row r="55" spans="1:28" ht="15.75" customHeight="1">
      <c r="A55" s="55" t="s">
        <v>103</v>
      </c>
      <c r="C55" s="421">
        <f>IF(C52=0,0,PMT(C53/12,C54*12,-C52))</f>
        <v>0</v>
      </c>
      <c r="D55" s="72"/>
      <c r="E55" s="137">
        <f t="shared" si="0"/>
        <v>44871</v>
      </c>
      <c r="G55" s="512"/>
      <c r="H55" s="1"/>
      <c r="I55" s="513"/>
      <c r="J55" s="72"/>
      <c r="M55" s="557"/>
      <c r="N55" s="557"/>
      <c r="O55" s="1"/>
      <c r="P55" s="1"/>
      <c r="Q55" s="26"/>
      <c r="R55" s="381">
        <v>3</v>
      </c>
      <c r="S55" s="454" t="s">
        <v>135</v>
      </c>
      <c r="T55" s="448">
        <f>Indices_Margins!C65</f>
        <v>0.66369634362190222</v>
      </c>
      <c r="U55" s="345"/>
      <c r="V55" s="449">
        <f>Indices_Margins!D65</f>
        <v>0.72256255408489278</v>
      </c>
      <c r="W55" s="117"/>
      <c r="X55" s="51"/>
      <c r="Y55" s="2"/>
      <c r="Z55" s="2"/>
      <c r="AA55" s="2"/>
      <c r="AB55" s="26"/>
    </row>
    <row r="56" spans="1:28" ht="15.75" customHeight="1">
      <c r="A56" s="55" t="s">
        <v>104</v>
      </c>
      <c r="C56" s="516"/>
      <c r="D56" s="72"/>
      <c r="E56" s="137">
        <f t="shared" si="0"/>
        <v>44902</v>
      </c>
      <c r="G56" s="512"/>
      <c r="H56" s="1"/>
      <c r="I56" s="513"/>
      <c r="J56" s="72"/>
      <c r="L56" s="31" t="s">
        <v>105</v>
      </c>
      <c r="N56" s="1"/>
      <c r="P56" s="428">
        <v>0</v>
      </c>
      <c r="Q56" s="2" t="s">
        <v>106</v>
      </c>
      <c r="R56" s="381">
        <v>4</v>
      </c>
      <c r="S56" s="454" t="s">
        <v>136</v>
      </c>
      <c r="T56" s="448">
        <f>Indices_Margins!C66</f>
        <v>0.63631595145406172</v>
      </c>
      <c r="U56" s="345"/>
      <c r="V56" s="449">
        <f>Indices_Margins!D66</f>
        <v>0.67919671484750066</v>
      </c>
      <c r="W56" s="126"/>
      <c r="X56" s="157"/>
      <c r="Y56" s="105"/>
      <c r="Z56" s="2"/>
      <c r="AA56" s="26"/>
      <c r="AB56" s="26"/>
    </row>
    <row r="57" spans="1:28" ht="15.75" customHeight="1" thickBot="1">
      <c r="A57" s="134" t="s">
        <v>281</v>
      </c>
      <c r="B57" s="555"/>
      <c r="C57" s="555"/>
      <c r="D57" s="158"/>
      <c r="E57" s="100"/>
      <c r="F57" s="17"/>
      <c r="G57" s="17"/>
      <c r="H57" s="17"/>
      <c r="I57" s="17"/>
      <c r="J57" s="101"/>
      <c r="L57" s="31" t="s">
        <v>108</v>
      </c>
      <c r="M57" s="107"/>
      <c r="N57" s="1"/>
      <c r="P57" s="428">
        <v>1.2500000000000001E-2</v>
      </c>
      <c r="Q57" s="1" t="s">
        <v>109</v>
      </c>
      <c r="R57" s="381">
        <v>5</v>
      </c>
      <c r="S57" s="454" t="s">
        <v>137</v>
      </c>
      <c r="T57" s="448">
        <f>Indices_Margins!C67</f>
        <v>0.67169609480403047</v>
      </c>
      <c r="U57" s="345"/>
      <c r="V57" s="449">
        <f>Indices_Margins!D67</f>
        <v>0.72446134803993378</v>
      </c>
      <c r="W57" s="126"/>
      <c r="X57" s="157"/>
      <c r="Y57" s="105"/>
      <c r="Z57" s="2"/>
      <c r="AA57" s="26"/>
      <c r="AB57" s="26"/>
    </row>
    <row r="58" spans="1:2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M58" s="1"/>
      <c r="N58" s="1"/>
      <c r="P58" s="1"/>
      <c r="R58" s="381">
        <v>6</v>
      </c>
      <c r="S58" s="454" t="s">
        <v>138</v>
      </c>
      <c r="T58" s="448">
        <f>Indices_Margins!C68</f>
        <v>0.63791520721855477</v>
      </c>
      <c r="U58" s="345"/>
      <c r="V58" s="449">
        <f>Indices_Margins!D68</f>
        <v>0.73768548903620601</v>
      </c>
      <c r="W58" s="117"/>
      <c r="X58" s="157"/>
      <c r="Y58" s="105"/>
      <c r="Z58" s="2"/>
      <c r="AA58" s="26"/>
      <c r="AB58" s="26"/>
    </row>
    <row r="59" spans="1:28" ht="15.75" customHeight="1">
      <c r="A59" s="159" t="s">
        <v>125</v>
      </c>
      <c r="B59" s="114"/>
      <c r="C59" s="38" t="s">
        <v>126</v>
      </c>
      <c r="D59" s="114"/>
      <c r="E59" s="38" t="s">
        <v>127</v>
      </c>
      <c r="F59" s="160"/>
      <c r="G59" s="16"/>
      <c r="H59" s="16"/>
      <c r="I59" s="16"/>
      <c r="L59" s="139" t="s">
        <v>113</v>
      </c>
      <c r="M59" s="107"/>
      <c r="N59" s="1"/>
      <c r="P59" s="427">
        <v>2</v>
      </c>
      <c r="Q59" s="140" t="s">
        <v>114</v>
      </c>
      <c r="R59" s="381">
        <v>7</v>
      </c>
      <c r="S59" s="454" t="s">
        <v>139</v>
      </c>
      <c r="T59" s="448">
        <f>Indices_Margins!C69</f>
        <v>0.67155953075098851</v>
      </c>
      <c r="U59" s="345"/>
      <c r="V59" s="449">
        <f>Indices_Margins!D69</f>
        <v>0.92314635022225089</v>
      </c>
      <c r="W59" s="117"/>
      <c r="X59" s="157"/>
      <c r="Y59" s="105"/>
      <c r="Z59" s="2"/>
      <c r="AA59" s="26"/>
      <c r="AB59" s="26"/>
    </row>
    <row r="60" spans="1:28" ht="15.75" customHeight="1">
      <c r="A60" s="161"/>
      <c r="B60" s="162">
        <f>C9</f>
        <v>44561</v>
      </c>
      <c r="C60" s="511">
        <v>0</v>
      </c>
      <c r="D60" s="163"/>
      <c r="E60" s="511">
        <v>0</v>
      </c>
      <c r="F60" s="164"/>
      <c r="G60" s="16"/>
      <c r="H60" s="16"/>
      <c r="I60" s="16"/>
      <c r="J60" s="1"/>
      <c r="K60" s="1"/>
      <c r="L60" s="106"/>
      <c r="M60" s="107"/>
      <c r="N60" s="1"/>
      <c r="P60" s="142"/>
      <c r="Q60" s="142"/>
      <c r="R60" s="381">
        <v>8</v>
      </c>
      <c r="S60" s="454" t="s">
        <v>140</v>
      </c>
      <c r="T60" s="448">
        <f>Indices_Margins!C70</f>
        <v>0.65905588371727708</v>
      </c>
      <c r="U60" s="345"/>
      <c r="V60" s="449">
        <f>Indices_Margins!D70</f>
        <v>0.89541884574449515</v>
      </c>
      <c r="W60" s="117"/>
    </row>
    <row r="61" spans="1:28" ht="15.75" customHeight="1">
      <c r="A61" s="161"/>
      <c r="B61" s="162">
        <f t="shared" ref="B61:B71" si="1">B60+31</f>
        <v>44592</v>
      </c>
      <c r="C61" s="511">
        <v>0</v>
      </c>
      <c r="D61" s="163"/>
      <c r="E61" s="511">
        <v>0</v>
      </c>
      <c r="F61" s="164"/>
      <c r="G61" s="16"/>
      <c r="H61" s="16"/>
      <c r="I61" s="16"/>
      <c r="J61" s="1"/>
      <c r="K61" s="1"/>
      <c r="L61" s="139" t="s">
        <v>116</v>
      </c>
      <c r="M61" s="107"/>
      <c r="N61" s="1"/>
      <c r="P61" s="427">
        <v>5</v>
      </c>
      <c r="Q61" s="140" t="s">
        <v>114</v>
      </c>
      <c r="R61" s="381">
        <v>9</v>
      </c>
      <c r="S61" s="454" t="s">
        <v>141</v>
      </c>
      <c r="T61" s="448">
        <f>Indices_Margins!C71</f>
        <v>0.64687710627825101</v>
      </c>
      <c r="U61" s="345"/>
      <c r="V61" s="449">
        <f>Indices_Margins!D71</f>
        <v>0.97392756995808671</v>
      </c>
      <c r="W61" s="117"/>
    </row>
    <row r="62" spans="1:28" ht="15.75" customHeight="1">
      <c r="A62" s="146"/>
      <c r="B62" s="162">
        <f t="shared" si="1"/>
        <v>44623</v>
      </c>
      <c r="C62" s="511">
        <v>0</v>
      </c>
      <c r="D62" s="163"/>
      <c r="E62" s="511">
        <v>0</v>
      </c>
      <c r="F62" s="164"/>
      <c r="G62" s="16"/>
      <c r="H62" s="16"/>
      <c r="I62" s="16"/>
      <c r="J62" s="1"/>
      <c r="K62" s="157"/>
      <c r="L62" s="106"/>
      <c r="M62" s="107"/>
      <c r="N62" s="37"/>
      <c r="O62" s="1"/>
      <c r="P62" s="1"/>
      <c r="R62" s="381">
        <v>10</v>
      </c>
      <c r="S62" s="454" t="s">
        <v>142</v>
      </c>
      <c r="T62" s="448">
        <f>Indices_Margins!C72</f>
        <v>0.65820333359788674</v>
      </c>
      <c r="U62" s="345"/>
      <c r="V62" s="449">
        <f>Indices_Margins!D72</f>
        <v>0.91751583639363077</v>
      </c>
      <c r="W62" s="117"/>
    </row>
    <row r="63" spans="1:28" ht="15.75" customHeight="1" thickBot="1">
      <c r="A63" s="146"/>
      <c r="B63" s="162">
        <f t="shared" si="1"/>
        <v>44654</v>
      </c>
      <c r="C63" s="511">
        <v>0</v>
      </c>
      <c r="D63" s="163"/>
      <c r="E63" s="511">
        <v>0</v>
      </c>
      <c r="F63" s="164"/>
      <c r="G63" s="16"/>
      <c r="H63" s="16"/>
      <c r="I63" s="16"/>
      <c r="J63" s="108"/>
      <c r="K63" s="108"/>
      <c r="Q63" s="108"/>
      <c r="R63" s="381">
        <v>11</v>
      </c>
      <c r="S63" s="454" t="s">
        <v>143</v>
      </c>
      <c r="T63" s="448">
        <f>Indices_Margins!C73</f>
        <v>0.66085105064542793</v>
      </c>
      <c r="U63" s="345"/>
      <c r="V63" s="449">
        <f>Indices_Margins!D73</f>
        <v>0.907463502308961</v>
      </c>
      <c r="W63" s="117"/>
    </row>
    <row r="64" spans="1:28" ht="15.75" customHeight="1" thickBot="1">
      <c r="A64" s="146"/>
      <c r="B64" s="162">
        <f t="shared" si="1"/>
        <v>44685</v>
      </c>
      <c r="C64" s="511">
        <v>0</v>
      </c>
      <c r="D64" s="163"/>
      <c r="E64" s="511">
        <v>0</v>
      </c>
      <c r="F64" s="164"/>
      <c r="G64" s="16"/>
      <c r="H64" s="16"/>
      <c r="I64" s="16"/>
      <c r="J64" s="108"/>
      <c r="K64" s="108"/>
      <c r="L64" s="549" t="s">
        <v>128</v>
      </c>
      <c r="M64" s="550"/>
      <c r="N64" s="550"/>
      <c r="O64" s="550"/>
      <c r="P64" s="550"/>
      <c r="Q64" s="551"/>
      <c r="R64" s="381">
        <v>12</v>
      </c>
      <c r="S64" s="454" t="s">
        <v>144</v>
      </c>
      <c r="T64" s="448">
        <f>Indices_Margins!C74</f>
        <v>0.65581541452187364</v>
      </c>
      <c r="U64" s="345"/>
      <c r="V64" s="449">
        <f>Indices_Margins!D74</f>
        <v>0.90331765702852707</v>
      </c>
      <c r="W64" s="117"/>
    </row>
    <row r="65" spans="1:23" ht="15.75" customHeight="1">
      <c r="A65" s="146"/>
      <c r="B65" s="162">
        <f t="shared" si="1"/>
        <v>44716</v>
      </c>
      <c r="C65" s="511">
        <v>0</v>
      </c>
      <c r="D65" s="163"/>
      <c r="E65" s="511">
        <v>0</v>
      </c>
      <c r="F65" s="164"/>
      <c r="G65" s="16"/>
      <c r="H65" s="16"/>
      <c r="I65" s="16"/>
      <c r="J65" s="108"/>
      <c r="K65" s="108"/>
      <c r="R65" s="385"/>
      <c r="S65" s="455"/>
      <c r="T65" s="3"/>
      <c r="U65" s="3"/>
      <c r="V65" s="3"/>
      <c r="W65" s="117"/>
    </row>
    <row r="66" spans="1:23" ht="15.75" customHeight="1">
      <c r="A66" s="146"/>
      <c r="B66" s="162">
        <f t="shared" si="1"/>
        <v>44747</v>
      </c>
      <c r="C66" s="511">
        <v>0</v>
      </c>
      <c r="D66" s="163"/>
      <c r="E66" s="511">
        <v>0</v>
      </c>
      <c r="F66" s="164"/>
      <c r="G66" s="16"/>
      <c r="H66" s="16"/>
      <c r="I66" s="16"/>
      <c r="J66" s="108"/>
      <c r="K66" s="108"/>
      <c r="L66" s="31" t="s">
        <v>14</v>
      </c>
      <c r="P66" s="371">
        <v>0.55000000000000004</v>
      </c>
      <c r="R66" s="384"/>
      <c r="S66" s="456" t="s">
        <v>61</v>
      </c>
      <c r="T66" s="155" t="s">
        <v>121</v>
      </c>
      <c r="U66" s="155"/>
      <c r="V66" s="155" t="s">
        <v>122</v>
      </c>
      <c r="W66" s="117"/>
    </row>
    <row r="67" spans="1:23" ht="15.75" customHeight="1">
      <c r="A67" s="146"/>
      <c r="B67" s="162">
        <f t="shared" si="1"/>
        <v>44778</v>
      </c>
      <c r="C67" s="511">
        <v>0</v>
      </c>
      <c r="D67" s="163"/>
      <c r="E67" s="511">
        <v>0</v>
      </c>
      <c r="F67" s="164"/>
      <c r="G67" s="16"/>
      <c r="H67" s="16"/>
      <c r="I67" s="16"/>
      <c r="J67" s="108"/>
      <c r="K67" s="108"/>
      <c r="L67" s="31" t="s">
        <v>10</v>
      </c>
      <c r="P67" s="371">
        <v>0.65</v>
      </c>
      <c r="R67" s="381">
        <v>1</v>
      </c>
      <c r="S67" s="454" t="s">
        <v>133</v>
      </c>
      <c r="T67" s="448">
        <f>Indices_Margins!C63+Indices_Margins!G63</f>
        <v>0.62313071548839205</v>
      </c>
      <c r="U67" s="345"/>
      <c r="V67" s="449">
        <f>Indices_Margins!D63+Indices_Margins!H63</f>
        <v>0.69676830481927698</v>
      </c>
      <c r="W67" s="117"/>
    </row>
    <row r="68" spans="1:23" ht="15.75" customHeight="1">
      <c r="A68" s="146"/>
      <c r="B68" s="162">
        <f t="shared" si="1"/>
        <v>44809</v>
      </c>
      <c r="C68" s="511">
        <v>0</v>
      </c>
      <c r="D68" s="163"/>
      <c r="E68" s="511">
        <v>0</v>
      </c>
      <c r="F68" s="164"/>
      <c r="G68" s="16"/>
      <c r="H68" s="16"/>
      <c r="I68" s="16"/>
      <c r="J68" s="108"/>
      <c r="K68" s="108"/>
      <c r="R68" s="381">
        <v>2</v>
      </c>
      <c r="S68" s="454" t="s">
        <v>134</v>
      </c>
      <c r="T68" s="448">
        <f>Indices_Margins!C64+Indices_Margins!G64</f>
        <v>0.66472673163493012</v>
      </c>
      <c r="U68" s="345"/>
      <c r="V68" s="449">
        <f>Indices_Margins!D64+Indices_Margins!H64</f>
        <v>0.68216632788012099</v>
      </c>
      <c r="W68" s="117"/>
    </row>
    <row r="69" spans="1:23" ht="15.75" customHeight="1">
      <c r="A69" s="146"/>
      <c r="B69" s="162">
        <f t="shared" si="1"/>
        <v>44840</v>
      </c>
      <c r="C69" s="511">
        <v>0</v>
      </c>
      <c r="D69" s="163"/>
      <c r="E69" s="511">
        <v>0</v>
      </c>
      <c r="F69" s="164"/>
      <c r="G69" s="16"/>
      <c r="H69" s="16"/>
      <c r="I69" s="16"/>
      <c r="J69" s="108"/>
      <c r="K69" s="108"/>
      <c r="L69" s="139" t="s">
        <v>113</v>
      </c>
      <c r="P69" s="427">
        <v>2</v>
      </c>
      <c r="R69" s="381">
        <v>3</v>
      </c>
      <c r="S69" s="454" t="s">
        <v>135</v>
      </c>
      <c r="T69" s="448">
        <f>Indices_Margins!C65+Indices_Margins!G65</f>
        <v>0.67369634362190223</v>
      </c>
      <c r="U69" s="345"/>
      <c r="V69" s="449">
        <f>Indices_Margins!D65+Indices_Margins!H65</f>
        <v>0.73256255408489279</v>
      </c>
      <c r="W69" s="117"/>
    </row>
    <row r="70" spans="1:23" ht="15.75" customHeight="1">
      <c r="A70" s="146"/>
      <c r="B70" s="162">
        <f t="shared" si="1"/>
        <v>44871</v>
      </c>
      <c r="C70" s="511">
        <v>0</v>
      </c>
      <c r="D70" s="163"/>
      <c r="E70" s="511">
        <v>0</v>
      </c>
      <c r="F70" s="164"/>
      <c r="G70" s="16"/>
      <c r="H70" s="16"/>
      <c r="I70" s="16"/>
      <c r="J70" s="108"/>
      <c r="K70" s="108"/>
      <c r="L70" s="139" t="s">
        <v>116</v>
      </c>
      <c r="P70" s="427">
        <v>5</v>
      </c>
      <c r="R70" s="381">
        <v>4</v>
      </c>
      <c r="S70" s="454" t="s">
        <v>136</v>
      </c>
      <c r="T70" s="448">
        <f>Indices_Margins!C66+Indices_Margins!G66</f>
        <v>0.64631595145406173</v>
      </c>
      <c r="U70" s="345"/>
      <c r="V70" s="449">
        <f>Indices_Margins!D66+Indices_Margins!H66</f>
        <v>0.68919671484750067</v>
      </c>
      <c r="W70" s="117"/>
    </row>
    <row r="71" spans="1:23" ht="15.75" customHeight="1" thickBot="1">
      <c r="A71" s="146"/>
      <c r="B71" s="162">
        <f t="shared" si="1"/>
        <v>44902</v>
      </c>
      <c r="C71" s="511">
        <v>0</v>
      </c>
      <c r="D71" s="163"/>
      <c r="E71" s="511">
        <v>0</v>
      </c>
      <c r="F71" s="164"/>
      <c r="G71" s="16"/>
      <c r="H71" s="16"/>
      <c r="I71" s="16"/>
      <c r="J71" s="108"/>
      <c r="K71" s="108"/>
      <c r="R71" s="381">
        <v>5</v>
      </c>
      <c r="S71" s="454" t="s">
        <v>137</v>
      </c>
      <c r="T71" s="448">
        <f>Indices_Margins!C67+Indices_Margins!G67</f>
        <v>0.68169609480403048</v>
      </c>
      <c r="U71" s="345"/>
      <c r="V71" s="449">
        <f>Indices_Margins!D67+Indices_Margins!H67</f>
        <v>0.73446134803993379</v>
      </c>
      <c r="W71" s="117"/>
    </row>
    <row r="72" spans="1:23" ht="15.75" customHeight="1" thickBot="1">
      <c r="A72" s="165"/>
      <c r="B72" s="166" t="s">
        <v>129</v>
      </c>
      <c r="C72" s="167">
        <f>SUM(C60:C71)</f>
        <v>0</v>
      </c>
      <c r="D72" s="167"/>
      <c r="E72" s="167">
        <f>SUM(E60:E71)</f>
        <v>0</v>
      </c>
      <c r="F72" s="168"/>
      <c r="G72" s="16"/>
      <c r="H72" s="16"/>
      <c r="I72" s="16"/>
      <c r="J72" s="108"/>
      <c r="K72" s="108"/>
      <c r="L72" s="106" t="s">
        <v>130</v>
      </c>
      <c r="P72" s="319">
        <f>(I16 -(I16*P66))/P69</f>
        <v>3918.555000000003</v>
      </c>
      <c r="R72" s="381">
        <v>6</v>
      </c>
      <c r="S72" s="454" t="s">
        <v>138</v>
      </c>
      <c r="T72" s="448">
        <f>Indices_Margins!C68+Indices_Margins!G68</f>
        <v>0.64791520721855478</v>
      </c>
      <c r="U72" s="345"/>
      <c r="V72" s="449">
        <f>Indices_Margins!D68+Indices_Margins!H68</f>
        <v>0.74768548903620602</v>
      </c>
      <c r="W72" s="117"/>
    </row>
    <row r="73" spans="1:23" ht="15.75" customHeight="1" thickBot="1">
      <c r="A73" s="169"/>
      <c r="B73" s="114"/>
      <c r="C73" s="114"/>
      <c r="D73" s="114"/>
      <c r="E73" s="114"/>
      <c r="F73" s="170"/>
      <c r="G73" s="16"/>
      <c r="H73" s="16"/>
      <c r="I73" s="16"/>
      <c r="J73" s="108"/>
      <c r="K73" s="108"/>
      <c r="L73" s="221" t="s">
        <v>131</v>
      </c>
      <c r="P73" s="319">
        <f>(G16 -(G16*P67))/P70</f>
        <v>120691.49399999999</v>
      </c>
      <c r="Q73" s="108"/>
      <c r="R73" s="381">
        <v>7</v>
      </c>
      <c r="S73" s="454" t="s">
        <v>139</v>
      </c>
      <c r="T73" s="448">
        <f>Indices_Margins!C69+Indices_Margins!G69</f>
        <v>0.68155953075098852</v>
      </c>
      <c r="U73" s="345"/>
      <c r="V73" s="449">
        <f>Indices_Margins!D69+Indices_Margins!H69</f>
        <v>0.9331463502222509</v>
      </c>
      <c r="W73" s="117"/>
    </row>
    <row r="74" spans="1:23" ht="15.75" customHeight="1">
      <c r="A74" s="146"/>
      <c r="B74" s="1"/>
      <c r="C74" s="1"/>
      <c r="D74" s="1"/>
      <c r="E74" s="1"/>
      <c r="F74" s="16"/>
      <c r="G74" s="16"/>
      <c r="H74" s="16"/>
      <c r="I74" s="16"/>
      <c r="Q74" s="108"/>
      <c r="R74" s="381">
        <v>8</v>
      </c>
      <c r="S74" s="454" t="s">
        <v>140</v>
      </c>
      <c r="T74" s="448">
        <f>Indices_Margins!C70+Indices_Margins!G70</f>
        <v>0.66905588371727709</v>
      </c>
      <c r="U74" s="345"/>
      <c r="V74" s="449">
        <f>Indices_Margins!D70+Indices_Margins!H70</f>
        <v>0.90541884574449516</v>
      </c>
      <c r="W74" s="117"/>
    </row>
    <row r="75" spans="1:23" ht="15.75" customHeight="1">
      <c r="A75" s="146"/>
      <c r="B75" s="1"/>
      <c r="C75" s="1"/>
      <c r="D75" s="1"/>
      <c r="E75" s="1"/>
      <c r="F75" s="16"/>
      <c r="G75" s="16"/>
      <c r="H75" s="16"/>
      <c r="I75" s="16"/>
      <c r="Q75" s="108"/>
      <c r="R75" s="381">
        <v>9</v>
      </c>
      <c r="S75" s="454" t="s">
        <v>141</v>
      </c>
      <c r="T75" s="448">
        <f>Indices_Margins!C71+Indices_Margins!G71</f>
        <v>0.65687710627825102</v>
      </c>
      <c r="U75" s="345"/>
      <c r="V75" s="449">
        <f>Indices_Margins!D71+Indices_Margins!H71</f>
        <v>0.98392756995808672</v>
      </c>
      <c r="W75" s="117"/>
    </row>
    <row r="76" spans="1:23" ht="15.75" customHeight="1">
      <c r="A76" s="146"/>
      <c r="B76" s="162"/>
      <c r="C76" s="163"/>
      <c r="D76" s="163"/>
      <c r="E76" s="163"/>
      <c r="F76" s="16"/>
      <c r="G76" s="16"/>
      <c r="H76" s="16"/>
      <c r="I76" s="16"/>
      <c r="Q76" s="108"/>
      <c r="R76" s="381">
        <v>10</v>
      </c>
      <c r="S76" s="454" t="s">
        <v>142</v>
      </c>
      <c r="T76" s="448">
        <f>Indices_Margins!C72+Indices_Margins!G72</f>
        <v>0.66820333359788675</v>
      </c>
      <c r="U76" s="345"/>
      <c r="V76" s="449">
        <f>Indices_Margins!D72+Indices_Margins!H72</f>
        <v>0.92751583639363078</v>
      </c>
      <c r="W76" s="117"/>
    </row>
    <row r="77" spans="1:23" ht="15.75" customHeight="1">
      <c r="A77" s="146"/>
      <c r="B77" s="162"/>
      <c r="C77" s="163"/>
      <c r="D77" s="163"/>
      <c r="E77" s="163"/>
      <c r="F77" s="16"/>
      <c r="G77" s="16"/>
      <c r="H77" s="16"/>
      <c r="I77" s="16"/>
      <c r="L77" s="106"/>
      <c r="M77" s="107"/>
      <c r="N77" s="37"/>
      <c r="O77" s="1"/>
      <c r="P77" s="1"/>
      <c r="Q77" s="1"/>
      <c r="R77" s="381">
        <v>11</v>
      </c>
      <c r="S77" s="454" t="s">
        <v>143</v>
      </c>
      <c r="T77" s="448">
        <f>Indices_Margins!C73+Indices_Margins!G73</f>
        <v>0.67085105064542794</v>
      </c>
      <c r="U77" s="345"/>
      <c r="V77" s="449">
        <f>Indices_Margins!D73+Indices_Margins!H73</f>
        <v>0.91746350230896101</v>
      </c>
      <c r="W77" s="117"/>
    </row>
    <row r="78" spans="1:23" ht="15.75" customHeight="1">
      <c r="A78" s="146"/>
      <c r="B78" s="1"/>
      <c r="C78" s="1"/>
      <c r="D78" s="1"/>
      <c r="E78" s="1"/>
      <c r="F78" s="16"/>
      <c r="G78" s="16"/>
      <c r="H78" s="16"/>
      <c r="I78" s="16"/>
      <c r="L78" s="106"/>
      <c r="M78" s="107"/>
      <c r="N78" s="37"/>
      <c r="O78" s="1"/>
      <c r="P78" s="1"/>
      <c r="Q78" s="1"/>
      <c r="R78" s="381">
        <v>12</v>
      </c>
      <c r="S78" s="454" t="s">
        <v>144</v>
      </c>
      <c r="T78" s="448">
        <f>Indices_Margins!C74+Indices_Margins!G74</f>
        <v>0.66581541452187365</v>
      </c>
      <c r="U78" s="345"/>
      <c r="V78" s="449">
        <f>Indices_Margins!D74+Indices_Margins!H74</f>
        <v>0.91331765702852707</v>
      </c>
      <c r="W78" s="117"/>
    </row>
    <row r="79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386"/>
      <c r="S79" s="150"/>
      <c r="T79" s="102"/>
      <c r="U79" s="102"/>
      <c r="V79" s="102"/>
      <c r="W79" s="152"/>
    </row>
    <row r="80" spans="1:23" ht="18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386"/>
      <c r="S80" s="348" t="s">
        <v>132</v>
      </c>
      <c r="U80" s="117"/>
    </row>
    <row r="81" spans="18:21" s="1" customFormat="1">
      <c r="R81" s="381">
        <v>1</v>
      </c>
      <c r="S81" s="125" t="s">
        <v>133</v>
      </c>
      <c r="T81" s="417">
        <v>5</v>
      </c>
      <c r="U81" s="117"/>
    </row>
    <row r="82" spans="18:21" s="1" customFormat="1" ht="12.75" customHeight="1">
      <c r="R82" s="381">
        <v>2</v>
      </c>
      <c r="S82" s="125" t="s">
        <v>134</v>
      </c>
      <c r="T82" s="417">
        <v>4</v>
      </c>
      <c r="U82" s="117"/>
    </row>
    <row r="83" spans="18:21" s="1" customFormat="1" ht="12.75" customHeight="1">
      <c r="R83" s="381">
        <v>3</v>
      </c>
      <c r="S83" s="125" t="s">
        <v>135</v>
      </c>
      <c r="T83" s="417">
        <v>4</v>
      </c>
      <c r="U83" s="117"/>
    </row>
    <row r="84" spans="18:21" s="1" customFormat="1" ht="12.75" customHeight="1">
      <c r="R84" s="381">
        <v>4</v>
      </c>
      <c r="S84" s="125" t="s">
        <v>136</v>
      </c>
      <c r="T84" s="417">
        <v>5</v>
      </c>
      <c r="U84" s="117"/>
    </row>
    <row r="85" spans="18:21" s="1" customFormat="1" ht="12.75" customHeight="1">
      <c r="R85" s="381">
        <v>5</v>
      </c>
      <c r="S85" s="125" t="s">
        <v>137</v>
      </c>
      <c r="T85" s="417">
        <v>4</v>
      </c>
      <c r="U85" s="117"/>
    </row>
    <row r="86" spans="18:21" s="1" customFormat="1" ht="12.75" customHeight="1">
      <c r="R86" s="381">
        <v>6</v>
      </c>
      <c r="S86" s="125" t="s">
        <v>138</v>
      </c>
      <c r="T86" s="417">
        <v>4</v>
      </c>
      <c r="U86" s="117"/>
    </row>
    <row r="87" spans="18:21" s="1" customFormat="1" ht="12.75" customHeight="1">
      <c r="R87" s="381">
        <v>7</v>
      </c>
      <c r="S87" s="125" t="s">
        <v>139</v>
      </c>
      <c r="T87" s="417">
        <v>5</v>
      </c>
      <c r="U87" s="117"/>
    </row>
    <row r="88" spans="18:21" s="1" customFormat="1" ht="12.75" customHeight="1">
      <c r="R88" s="381">
        <v>8</v>
      </c>
      <c r="S88" s="125" t="s">
        <v>140</v>
      </c>
      <c r="T88" s="417">
        <v>4</v>
      </c>
      <c r="U88" s="117"/>
    </row>
    <row r="89" spans="18:21" s="1" customFormat="1" ht="12.75" customHeight="1">
      <c r="R89" s="381">
        <v>9</v>
      </c>
      <c r="S89" s="125" t="s">
        <v>141</v>
      </c>
      <c r="T89" s="417">
        <v>4</v>
      </c>
      <c r="U89" s="117"/>
    </row>
    <row r="90" spans="18:21" s="1" customFormat="1" ht="12.75" customHeight="1">
      <c r="R90" s="381">
        <v>10</v>
      </c>
      <c r="S90" s="125" t="s">
        <v>142</v>
      </c>
      <c r="T90" s="417">
        <v>5</v>
      </c>
      <c r="U90" s="117"/>
    </row>
    <row r="91" spans="18:21" s="1" customFormat="1" ht="12.75" customHeight="1">
      <c r="R91" s="381">
        <v>11</v>
      </c>
      <c r="S91" s="125" t="s">
        <v>143</v>
      </c>
      <c r="T91" s="417">
        <v>4</v>
      </c>
      <c r="U91" s="117"/>
    </row>
    <row r="92" spans="18:21" s="1" customFormat="1" ht="12.75" customHeight="1">
      <c r="R92" s="381">
        <v>12</v>
      </c>
      <c r="S92" s="125" t="s">
        <v>144</v>
      </c>
      <c r="T92" s="417">
        <v>4</v>
      </c>
      <c r="U92" s="117"/>
    </row>
    <row r="93" spans="18:21" s="1" customFormat="1" ht="12.75" customHeight="1">
      <c r="R93" s="386"/>
      <c r="S93" s="161"/>
      <c r="T93" s="350">
        <f>SUM(T81:T92)</f>
        <v>52</v>
      </c>
      <c r="U93" s="117"/>
    </row>
    <row r="94" spans="18:21" s="1" customFormat="1">
      <c r="S94" s="150"/>
      <c r="T94" s="102"/>
      <c r="U94" s="152"/>
    </row>
    <row r="95" spans="18:21" s="1" customFormat="1"/>
    <row r="96" spans="18:21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pans="1:1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R189" s="1"/>
    </row>
    <row r="190" spans="1:18">
      <c r="A190" s="1"/>
      <c r="B190" s="1"/>
      <c r="C190" s="1"/>
      <c r="D190" s="1"/>
      <c r="E190" s="1"/>
      <c r="F190" s="1"/>
      <c r="G190" s="1"/>
      <c r="H190" s="1"/>
      <c r="I190" s="1"/>
      <c r="L190" s="1"/>
      <c r="M190" s="1"/>
      <c r="N190" s="1"/>
      <c r="O190" s="1"/>
      <c r="P190" s="1"/>
      <c r="R190" s="1"/>
    </row>
    <row r="191" spans="1:18">
      <c r="A191" s="1"/>
      <c r="B191" s="1"/>
      <c r="C191" s="1"/>
      <c r="D191" s="1"/>
      <c r="E191" s="1"/>
      <c r="F191" s="1"/>
      <c r="G191" s="1"/>
      <c r="H191" s="1"/>
      <c r="I191" s="1"/>
      <c r="L191" s="1"/>
      <c r="M191" s="1"/>
      <c r="N191" s="1"/>
      <c r="O191" s="1"/>
      <c r="P191" s="1"/>
    </row>
    <row r="192" spans="1:18">
      <c r="L192" s="1"/>
      <c r="M192" s="1"/>
      <c r="N192" s="1"/>
      <c r="O192" s="1"/>
      <c r="P192" s="1"/>
    </row>
  </sheetData>
  <sheetProtection algorithmName="SHA-512" hashValue="DQ56zEqLhwQk5wSM7beYFxjXFGlwvnXknDFv/V885Tla4jtyDmhsnxDh1EedLTQL/rPsE59VwbFqjYVbJI5SEQ==" saltValue="z0enjV+Di4ClqPMauZyMeQ==" spinCount="100000" sheet="1" objects="1" scenarios="1" selectLockedCells="1"/>
  <mergeCells count="37">
    <mergeCell ref="B43:C43"/>
    <mergeCell ref="B48:C48"/>
    <mergeCell ref="B57:C57"/>
    <mergeCell ref="L50:Q50"/>
    <mergeCell ref="L64:Q64"/>
    <mergeCell ref="M55:N55"/>
    <mergeCell ref="L36:Q36"/>
    <mergeCell ref="O6:P6"/>
    <mergeCell ref="M22:N22"/>
    <mergeCell ref="M23:N23"/>
    <mergeCell ref="M27:N27"/>
    <mergeCell ref="M15:N15"/>
    <mergeCell ref="M11:N11"/>
    <mergeCell ref="M25:N25"/>
    <mergeCell ref="M7:N7"/>
    <mergeCell ref="M8:N8"/>
    <mergeCell ref="M17:N17"/>
    <mergeCell ref="M19:N19"/>
    <mergeCell ref="M21:N21"/>
    <mergeCell ref="M12:N12"/>
    <mergeCell ref="M14:N14"/>
    <mergeCell ref="M13:N13"/>
    <mergeCell ref="Q29:R29"/>
    <mergeCell ref="A2:I2"/>
    <mergeCell ref="C6:D6"/>
    <mergeCell ref="C7:D7"/>
    <mergeCell ref="C8:D8"/>
    <mergeCell ref="C10:D10"/>
    <mergeCell ref="A3:I3"/>
    <mergeCell ref="M26:N26"/>
    <mergeCell ref="M28:N28"/>
    <mergeCell ref="H12:I12"/>
    <mergeCell ref="C9:D9"/>
    <mergeCell ref="F12:G12"/>
    <mergeCell ref="M9:N9"/>
    <mergeCell ref="M18:N18"/>
    <mergeCell ref="R28:V28"/>
  </mergeCells>
  <phoneticPr fontId="2" type="noConversion"/>
  <printOptions horizontalCentered="1" verticalCentered="1"/>
  <pageMargins left="0" right="0" top="0" bottom="0" header="0.28999999999999998" footer="0.27"/>
  <pageSetup scale="47" orientation="landscape" horizontalDpi="4294967292" verticalDpi="4294967292" r:id="rId1"/>
  <headerFooter alignWithMargins="0">
    <oddHeader>&amp;C&amp;18&amp;A</oddHeader>
    <oddFooter>&amp;L&amp;14&amp;D&amp;C&amp;14&amp;F&amp;R&amp;14&amp;P</oddFooter>
  </headerFooter>
  <rowBreaks count="5" manualBreakCount="5">
    <brk id="60" max="16383" man="1"/>
    <brk id="62" max="16383" man="1"/>
    <brk id="73" max="16383" man="1"/>
    <brk id="253" max="65535" man="1"/>
    <brk id="310" max="6553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150"/>
  <sheetViews>
    <sheetView zoomScaleNormal="100" workbookViewId="0">
      <pane ySplit="6" topLeftCell="A10" activePane="bottomLeft" state="frozen"/>
      <selection pane="bottomLeft" activeCell="D92" sqref="D92"/>
    </sheetView>
  </sheetViews>
  <sheetFormatPr defaultColWidth="9.1796875" defaultRowHeight="13"/>
  <cols>
    <col min="1" max="1" width="53.7265625" style="1" customWidth="1"/>
    <col min="2" max="2" width="18.26953125" style="1" customWidth="1"/>
    <col min="3" max="3" width="15" style="1" customWidth="1"/>
    <col min="4" max="14" width="12" style="1" bestFit="1" customWidth="1"/>
    <col min="15" max="15" width="21" style="1" customWidth="1"/>
    <col min="16" max="16" width="12" style="1" customWidth="1"/>
    <col min="17" max="18" width="10.7265625" style="1" customWidth="1"/>
    <col min="19" max="19" width="10.54296875" style="1" bestFit="1" customWidth="1"/>
    <col min="20" max="20" width="10.26953125" style="1" bestFit="1" customWidth="1"/>
    <col min="21" max="21" width="10.81640625" style="1" bestFit="1" customWidth="1"/>
    <col min="22" max="31" width="10.54296875" style="1" bestFit="1" customWidth="1"/>
    <col min="32" max="16384" width="9.1796875" style="1"/>
  </cols>
  <sheetData>
    <row r="1" spans="1:21">
      <c r="A1" s="172"/>
    </row>
    <row r="2" spans="1:21" ht="15.5">
      <c r="A2" s="375" t="str">
        <f>Input!C6</f>
        <v>Bob, Lori &amp; Adam Brown</v>
      </c>
    </row>
    <row r="3" spans="1:21" ht="15.5">
      <c r="A3" s="376">
        <f>Input!C9</f>
        <v>44561</v>
      </c>
      <c r="E3" s="16"/>
      <c r="F3" s="16"/>
      <c r="G3" s="16"/>
      <c r="H3" s="2"/>
      <c r="I3" s="2"/>
      <c r="J3" s="106"/>
      <c r="K3" s="107"/>
      <c r="L3" s="37"/>
      <c r="S3" s="108"/>
      <c r="T3" s="108"/>
      <c r="U3" s="175"/>
    </row>
    <row r="4" spans="1:21" ht="15.5">
      <c r="A4" s="377" t="str">
        <f>Input!C7</f>
        <v>Ann Arbor</v>
      </c>
      <c r="B4" s="108"/>
      <c r="C4" s="108"/>
      <c r="D4" s="108"/>
      <c r="E4" s="108"/>
      <c r="F4" s="108"/>
      <c r="G4" s="108"/>
      <c r="H4" s="177"/>
      <c r="I4" s="177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1">
      <c r="A5" s="378"/>
      <c r="B5" s="2"/>
      <c r="C5" s="2"/>
      <c r="D5" s="2"/>
      <c r="E5" s="2"/>
      <c r="F5" s="2"/>
      <c r="G5" s="2"/>
      <c r="H5" s="78"/>
      <c r="I5" s="78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3"/>
      <c r="U5" s="3"/>
    </row>
    <row r="6" spans="1:21" ht="15.5">
      <c r="A6" s="379" t="s">
        <v>145</v>
      </c>
      <c r="B6" s="173" t="s">
        <v>146</v>
      </c>
      <c r="C6" s="292">
        <f>Input!C9</f>
        <v>44561</v>
      </c>
      <c r="D6" s="292">
        <f>DATE(YEAR(C6),MONTH(C6)+1,DAY(C6))</f>
        <v>44592</v>
      </c>
      <c r="E6" s="292">
        <f t="shared" ref="E6:M6" si="0">DATE(YEAR(D6),MONTH(D6)+1,DAY(D6))</f>
        <v>44620</v>
      </c>
      <c r="F6" s="292">
        <f t="shared" si="0"/>
        <v>44651</v>
      </c>
      <c r="G6" s="292">
        <f t="shared" si="0"/>
        <v>44681</v>
      </c>
      <c r="H6" s="292">
        <f t="shared" si="0"/>
        <v>44712</v>
      </c>
      <c r="I6" s="292">
        <f t="shared" si="0"/>
        <v>44742</v>
      </c>
      <c r="J6" s="292">
        <f t="shared" si="0"/>
        <v>44773</v>
      </c>
      <c r="K6" s="292">
        <f t="shared" si="0"/>
        <v>44804</v>
      </c>
      <c r="L6" s="292">
        <f t="shared" si="0"/>
        <v>44834</v>
      </c>
      <c r="M6" s="292">
        <f t="shared" si="0"/>
        <v>44865</v>
      </c>
      <c r="N6" s="292">
        <f>DATE(YEAR(M6),MONTH(M6)+1,DAY(M6))</f>
        <v>44895</v>
      </c>
      <c r="O6" s="292" t="s">
        <v>44</v>
      </c>
      <c r="P6" s="179"/>
      <c r="Q6" s="179"/>
      <c r="R6" s="179"/>
      <c r="S6" s="180"/>
      <c r="T6" s="181"/>
    </row>
    <row r="7" spans="1:21" ht="15.5">
      <c r="A7" s="2"/>
      <c r="B7" s="2"/>
      <c r="C7" s="78" t="s">
        <v>147</v>
      </c>
      <c r="D7" s="78"/>
      <c r="E7" s="78"/>
      <c r="F7" s="78" t="s">
        <v>147</v>
      </c>
      <c r="G7" s="78"/>
      <c r="H7" s="41"/>
      <c r="I7" s="41"/>
      <c r="J7" s="182"/>
      <c r="K7" s="182"/>
      <c r="L7" s="182"/>
      <c r="M7" s="182"/>
      <c r="N7" s="182"/>
      <c r="O7" s="182"/>
      <c r="P7" s="182"/>
      <c r="Q7" s="182"/>
      <c r="R7" s="182"/>
      <c r="S7" s="183"/>
      <c r="T7" s="184"/>
      <c r="U7" s="185"/>
    </row>
    <row r="8" spans="1:21" ht="15.5">
      <c r="A8" s="186" t="s">
        <v>89</v>
      </c>
      <c r="B8" s="187"/>
      <c r="C8" s="188">
        <f>VLOOKUP(MONTH(C6),Input!$R$37:$X$48,3)</f>
        <v>5.8082578761145642E-2</v>
      </c>
      <c r="D8" s="188">
        <f>VLOOKUP(MONTH(D6),Input!$R$37:$X$48,3)</f>
        <v>7.177592390928339E-2</v>
      </c>
      <c r="E8" s="188">
        <f>VLOOKUP(MONTH(E6),Input!$R$37:$X$48,3)</f>
        <v>8.6883638409713665E-2</v>
      </c>
      <c r="F8" s="188">
        <f>VLOOKUP(MONTH(F6),Input!$R$37:$X$48,3)</f>
        <v>7.9430826639939112E-2</v>
      </c>
      <c r="G8" s="188">
        <f>VLOOKUP(MONTH(G6),Input!$R$37:$X$48,3)</f>
        <v>9.2698379189188329E-2</v>
      </c>
      <c r="H8" s="188">
        <f>VLOOKUP(MONTH(H6),Input!$R$37:$X$48,3)</f>
        <v>8.4780045165988333E-2</v>
      </c>
      <c r="I8" s="188">
        <f>VLOOKUP(MONTH(I6),Input!$R$37:$X$48,3)</f>
        <v>8.3818006521660382E-2</v>
      </c>
      <c r="J8" s="188">
        <f>VLOOKUP(MONTH(J6),Input!$R$37:$X$48,3)</f>
        <v>0.12988848107878975</v>
      </c>
      <c r="K8" s="188">
        <f>VLOOKUP(MONTH(K6),Input!$R$37:$X$48,3)</f>
        <v>7.7920852787367406E-2</v>
      </c>
      <c r="L8" s="188">
        <f>VLOOKUP(MONTH(L6),Input!$R$37:$X$48,3)</f>
        <v>8.249096777290732E-2</v>
      </c>
      <c r="M8" s="188">
        <f>VLOOKUP(MONTH(M6),Input!$R$37:$X$48,3)</f>
        <v>7.9984270491009299E-2</v>
      </c>
      <c r="N8" s="188">
        <f>VLOOKUP(MONTH(N6),Input!$R$37:$X$48,3)</f>
        <v>7.2246029273007384E-2</v>
      </c>
      <c r="O8" s="189">
        <f>SUM(C8:N8)</f>
        <v>1</v>
      </c>
      <c r="P8" s="190"/>
      <c r="Q8" s="188"/>
      <c r="R8" s="188"/>
      <c r="S8" s="191"/>
      <c r="T8" s="191"/>
      <c r="U8" s="186"/>
    </row>
    <row r="9" spans="1:21" ht="15.5">
      <c r="A9" s="186"/>
      <c r="B9" s="187"/>
      <c r="C9" s="188"/>
      <c r="D9" s="188"/>
      <c r="E9" s="188"/>
      <c r="F9" s="188"/>
      <c r="G9" s="188"/>
      <c r="H9" s="191"/>
      <c r="I9" s="191"/>
      <c r="J9" s="192"/>
      <c r="K9" s="192"/>
      <c r="L9" s="192"/>
      <c r="M9" s="192"/>
      <c r="N9" s="192"/>
      <c r="O9" s="193"/>
      <c r="P9" s="194"/>
      <c r="Q9" s="192"/>
      <c r="R9" s="192"/>
      <c r="S9" s="191"/>
      <c r="T9" s="191"/>
      <c r="U9" s="186"/>
    </row>
    <row r="10" spans="1:21" s="14" customFormat="1" ht="15.5">
      <c r="A10" s="195" t="s">
        <v>148</v>
      </c>
      <c r="B10" s="196"/>
      <c r="C10" s="197">
        <f>C8*Input!$G$14</f>
        <v>89127.717108977988</v>
      </c>
      <c r="D10" s="197">
        <f>D8*Input!$G$14</f>
        <v>110140.15523879536</v>
      </c>
      <c r="E10" s="197">
        <f>E8*Input!$G$14</f>
        <v>133322.94313970563</v>
      </c>
      <c r="F10" s="197">
        <f>F8*Input!$G$14</f>
        <v>121886.60347898657</v>
      </c>
      <c r="G10" s="197">
        <f>G8*Input!$G$14</f>
        <v>142245.66286580949</v>
      </c>
      <c r="H10" s="197">
        <f>H8*Input!$G$14</f>
        <v>130094.9793072091</v>
      </c>
      <c r="I10" s="197">
        <f>I8*Input!$G$14</f>
        <v>128618.73100748786</v>
      </c>
      <c r="J10" s="197">
        <f>J8*Input!$G$14</f>
        <v>199313.87421540287</v>
      </c>
      <c r="K10" s="197">
        <f>K8*Input!$G$14</f>
        <v>119569.54860221529</v>
      </c>
      <c r="L10" s="197">
        <f>L8*Input!$G$14</f>
        <v>126582.39004752628</v>
      </c>
      <c r="M10" s="197">
        <f>M8*Input!$G$14</f>
        <v>122735.86306845376</v>
      </c>
      <c r="N10" s="197">
        <f>N8*Input!$G$14</f>
        <v>110861.53191942984</v>
      </c>
      <c r="O10" s="198">
        <f>SUM(C10:N10)</f>
        <v>1534500</v>
      </c>
      <c r="P10" s="194">
        <f>O10/$O$12</f>
        <v>0.99</v>
      </c>
      <c r="Q10" s="197"/>
      <c r="R10" s="197"/>
      <c r="S10" s="199"/>
      <c r="T10" s="199"/>
      <c r="U10" s="200"/>
    </row>
    <row r="11" spans="1:21" s="14" customFormat="1" ht="15.5">
      <c r="A11" s="201" t="s">
        <v>149</v>
      </c>
      <c r="B11" s="196"/>
      <c r="C11" s="202">
        <f>C8*Input!$I$14</f>
        <v>900.27997079775832</v>
      </c>
      <c r="D11" s="202">
        <f>D8*Input!$I$14</f>
        <v>1112.5268205938935</v>
      </c>
      <c r="E11" s="202">
        <f>E8*Input!$I$14</f>
        <v>1346.6963953505631</v>
      </c>
      <c r="F11" s="202">
        <f>F8*Input!$I$14</f>
        <v>1231.1778129190575</v>
      </c>
      <c r="G11" s="202">
        <f>G8*Input!$I$14</f>
        <v>1436.8248774324204</v>
      </c>
      <c r="H11" s="202">
        <f>H8*Input!$I$14</f>
        <v>1314.0907000728205</v>
      </c>
      <c r="I11" s="202">
        <f>I8*Input!$I$14</f>
        <v>1299.1791010857371</v>
      </c>
      <c r="J11" s="202">
        <f>J8*Input!$I$14</f>
        <v>2013.2714567212431</v>
      </c>
      <c r="K11" s="202">
        <f>K8*Input!$I$14</f>
        <v>1207.7732182041959</v>
      </c>
      <c r="L11" s="202">
        <f>L8*Input!$I$14</f>
        <v>1278.6100004800646</v>
      </c>
      <c r="M11" s="202">
        <f>M8*Input!$I$14</f>
        <v>1239.7561926106453</v>
      </c>
      <c r="N11" s="202">
        <f>N8*Input!$I$14</f>
        <v>1119.8134537316155</v>
      </c>
      <c r="O11" s="203">
        <f>SUM(C11:N11)</f>
        <v>15500.000000000015</v>
      </c>
      <c r="P11" s="194">
        <f>O11/$O$12</f>
        <v>1.0000000000000009E-2</v>
      </c>
      <c r="Q11" s="199"/>
      <c r="R11" s="199"/>
      <c r="S11" s="199"/>
      <c r="T11" s="199"/>
      <c r="U11" s="196"/>
    </row>
    <row r="12" spans="1:21" ht="15.5">
      <c r="A12" s="353" t="s">
        <v>150</v>
      </c>
      <c r="B12" s="354"/>
      <c r="C12" s="355">
        <f>SUM(C10:C11)</f>
        <v>90027.997079775741</v>
      </c>
      <c r="D12" s="355">
        <f t="shared" ref="D12:N12" si="1">SUM(D10:D11)</f>
        <v>111252.68205938925</v>
      </c>
      <c r="E12" s="355">
        <f t="shared" si="1"/>
        <v>134669.63953505619</v>
      </c>
      <c r="F12" s="355">
        <f t="shared" si="1"/>
        <v>123117.78129190563</v>
      </c>
      <c r="G12" s="355">
        <f t="shared" si="1"/>
        <v>143682.48774324192</v>
      </c>
      <c r="H12" s="355">
        <f t="shared" si="1"/>
        <v>131409.07000728193</v>
      </c>
      <c r="I12" s="355">
        <f t="shared" si="1"/>
        <v>129917.9101085736</v>
      </c>
      <c r="J12" s="355">
        <f t="shared" si="1"/>
        <v>201327.14567212411</v>
      </c>
      <c r="K12" s="355">
        <f t="shared" si="1"/>
        <v>120777.32182041949</v>
      </c>
      <c r="L12" s="355">
        <f t="shared" si="1"/>
        <v>127861.00004800635</v>
      </c>
      <c r="M12" s="355">
        <f t="shared" si="1"/>
        <v>123975.61926106441</v>
      </c>
      <c r="N12" s="355">
        <f t="shared" si="1"/>
        <v>111981.34537316146</v>
      </c>
      <c r="O12" s="356">
        <f>SUM(C12:N12)</f>
        <v>1550000</v>
      </c>
      <c r="P12" s="194">
        <f>O12/$O$12</f>
        <v>1</v>
      </c>
      <c r="Q12" s="41"/>
      <c r="R12" s="41"/>
      <c r="S12" s="41"/>
      <c r="T12" s="107"/>
    </row>
    <row r="13" spans="1:21" ht="15.5">
      <c r="A13" s="107"/>
      <c r="B13" s="2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204"/>
      <c r="P13" s="42"/>
      <c r="Q13" s="41"/>
      <c r="R13" s="41"/>
      <c r="S13" s="41"/>
      <c r="T13" s="107"/>
    </row>
    <row r="14" spans="1:21" ht="15.5">
      <c r="A14" s="107" t="s">
        <v>151</v>
      </c>
      <c r="B14" s="2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204"/>
      <c r="P14" s="42"/>
      <c r="Q14" s="41"/>
      <c r="R14" s="41"/>
      <c r="S14" s="41"/>
      <c r="T14" s="107"/>
      <c r="U14" s="205"/>
    </row>
    <row r="15" spans="1:21" s="76" customFormat="1">
      <c r="A15" s="2" t="s">
        <v>152</v>
      </c>
      <c r="B15" s="337"/>
      <c r="C15" s="380">
        <f>VLOOKUP(MONTH(C6),Input!$R$53:$V$64,3)</f>
        <v>0.61313071548839204</v>
      </c>
      <c r="D15" s="380">
        <f>VLOOKUP(MONTH(D6),Input!$R$53:$V$64,3)</f>
        <v>0.65472673163493011</v>
      </c>
      <c r="E15" s="380">
        <f>VLOOKUP(MONTH(E6),Input!$R$53:$V$64,3)</f>
        <v>0.66369634362190222</v>
      </c>
      <c r="F15" s="380">
        <f>VLOOKUP(MONTH(F6),Input!$R$53:$V$64,3)</f>
        <v>0.63631595145406172</v>
      </c>
      <c r="G15" s="380">
        <f>VLOOKUP(MONTH(G6),Input!$R$53:$V$64,3)</f>
        <v>0.67169609480403047</v>
      </c>
      <c r="H15" s="380">
        <f>VLOOKUP(MONTH(H6),Input!$R$53:$V$64,3)</f>
        <v>0.63791520721855477</v>
      </c>
      <c r="I15" s="380">
        <f>VLOOKUP(MONTH(I6),Input!$R$53:$V$64,3)</f>
        <v>0.67155953075098851</v>
      </c>
      <c r="J15" s="380">
        <f>VLOOKUP(MONTH(J6),Input!$R$53:$V$64,3)</f>
        <v>0.65905588371727708</v>
      </c>
      <c r="K15" s="380">
        <f>VLOOKUP(MONTH(K6),Input!$R$53:$V$64,3)</f>
        <v>0.64687710627825101</v>
      </c>
      <c r="L15" s="380">
        <f>VLOOKUP(MONTH(L6),Input!$R$53:$V$64,3)</f>
        <v>0.65820333359788674</v>
      </c>
      <c r="M15" s="380">
        <f>VLOOKUP(MONTH(M6),Input!$R$53:$V$64,3)</f>
        <v>0.66085105064542793</v>
      </c>
      <c r="N15" s="380">
        <f>VLOOKUP(MONTH(N6),Input!$R$53:$V$64,3)</f>
        <v>0.65581541452187364</v>
      </c>
      <c r="O15" s="339"/>
      <c r="P15" s="340"/>
      <c r="Q15" s="337"/>
      <c r="R15" s="337"/>
      <c r="S15" s="337"/>
      <c r="T15" s="337"/>
      <c r="U15" s="341"/>
    </row>
    <row r="16" spans="1:21" ht="15.5">
      <c r="A16" s="107" t="s">
        <v>153</v>
      </c>
      <c r="B16" s="2"/>
      <c r="C16" s="41">
        <f>C10*(1-C15)</f>
        <v>34480.776148103316</v>
      </c>
      <c r="D16" s="41">
        <f t="shared" ref="D16:N16" si="2">D10*(1-D15)</f>
        <v>38028.45137753505</v>
      </c>
      <c r="E16" s="41">
        <f t="shared" si="2"/>
        <v>44836.99325697223</v>
      </c>
      <c r="F16" s="41">
        <f t="shared" si="2"/>
        <v>44328.213416751278</v>
      </c>
      <c r="G16" s="41">
        <f t="shared" si="2"/>
        <v>46699.806616034562</v>
      </c>
      <c r="H16" s="41">
        <f t="shared" si="2"/>
        <v>47105.413624357214</v>
      </c>
      <c r="I16" s="41">
        <f t="shared" si="2"/>
        <v>42243.5963663117</v>
      </c>
      <c r="J16" s="41">
        <f t="shared" si="2"/>
        <v>67954.892707256324</v>
      </c>
      <c r="K16" s="41">
        <f t="shared" si="2"/>
        <v>42222.745003417571</v>
      </c>
      <c r="L16" s="41">
        <f t="shared" si="2"/>
        <v>43265.438943456524</v>
      </c>
      <c r="M16" s="41">
        <f t="shared" si="2"/>
        <v>41625.739007792719</v>
      </c>
      <c r="N16" s="41">
        <f t="shared" si="2"/>
        <v>38156.830409159033</v>
      </c>
      <c r="O16" s="198">
        <f>SUM(C16:N16)</f>
        <v>530948.89687714749</v>
      </c>
      <c r="P16" s="194">
        <f>O16/$O$12</f>
        <v>0.34254767540461128</v>
      </c>
      <c r="Q16" s="41"/>
      <c r="R16" s="41"/>
      <c r="S16" s="41"/>
      <c r="T16" s="41"/>
      <c r="U16" s="37"/>
    </row>
    <row r="17" spans="1:34" s="14" customFormat="1" ht="15.5">
      <c r="A17" s="207" t="s">
        <v>154</v>
      </c>
      <c r="B17" s="196"/>
      <c r="C17" s="197">
        <f>C12*Input!$P$43</f>
        <v>1125.3499634971968</v>
      </c>
      <c r="D17" s="197">
        <f>D12*Input!$P$43</f>
        <v>1390.6585257423658</v>
      </c>
      <c r="E17" s="197">
        <f>E12*Input!$P$43</f>
        <v>1683.3704941882024</v>
      </c>
      <c r="F17" s="197">
        <f>F12*Input!$P$43</f>
        <v>1538.9722661488204</v>
      </c>
      <c r="G17" s="197">
        <f>G12*Input!$P$43</f>
        <v>1796.0310967905241</v>
      </c>
      <c r="H17" s="197">
        <f>H12*Input!$P$43</f>
        <v>1642.6133750910242</v>
      </c>
      <c r="I17" s="197">
        <f>I12*Input!$P$43</f>
        <v>1623.9738763571702</v>
      </c>
      <c r="J17" s="197">
        <f>J12*Input!$P$43</f>
        <v>2516.5893209015517</v>
      </c>
      <c r="K17" s="197">
        <f>K12*Input!$P$43</f>
        <v>1509.7165227552437</v>
      </c>
      <c r="L17" s="197">
        <f>L12*Input!$P$43</f>
        <v>1598.2625006000794</v>
      </c>
      <c r="M17" s="197">
        <f>M12*Input!$P$43</f>
        <v>1549.6952407633053</v>
      </c>
      <c r="N17" s="197">
        <f>N12*Input!$P$43</f>
        <v>1399.7668171645182</v>
      </c>
      <c r="O17" s="198">
        <f>SUM(C17:N17)</f>
        <v>19375</v>
      </c>
      <c r="P17" s="194">
        <f>O17/$O$12</f>
        <v>1.2500000000000001E-2</v>
      </c>
      <c r="Q17" s="197"/>
      <c r="R17" s="41"/>
      <c r="S17" s="216"/>
      <c r="T17" s="205"/>
      <c r="U17" s="20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5.5">
      <c r="A18" s="107" t="s">
        <v>155</v>
      </c>
      <c r="B18" s="2"/>
      <c r="C18" s="41">
        <f>C11*Input!$P$42</f>
        <v>0</v>
      </c>
      <c r="D18" s="41">
        <f>D11*Input!$P$42</f>
        <v>0</v>
      </c>
      <c r="E18" s="41">
        <f>E11*Input!$P$42</f>
        <v>0</v>
      </c>
      <c r="F18" s="41">
        <f>F11*Input!$P$42</f>
        <v>0</v>
      </c>
      <c r="G18" s="41">
        <f>G11*Input!$P$42</f>
        <v>0</v>
      </c>
      <c r="H18" s="41">
        <f>H11*Input!$P$42</f>
        <v>0</v>
      </c>
      <c r="I18" s="41">
        <f>I11*Input!$P$42</f>
        <v>0</v>
      </c>
      <c r="J18" s="41">
        <f>J11*Input!$P$42</f>
        <v>0</v>
      </c>
      <c r="K18" s="41">
        <f>K11*Input!$P$42</f>
        <v>0</v>
      </c>
      <c r="L18" s="41">
        <f>L11*Input!$P$42</f>
        <v>0</v>
      </c>
      <c r="M18" s="41">
        <f>M11*Input!$P$42</f>
        <v>0</v>
      </c>
      <c r="N18" s="41">
        <f>N11*Input!$P$42</f>
        <v>0</v>
      </c>
      <c r="O18" s="198">
        <f>SUM(C18:N18)</f>
        <v>0</v>
      </c>
      <c r="P18" s="194">
        <f>O18/$O$12</f>
        <v>0</v>
      </c>
      <c r="Q18" s="41"/>
      <c r="R18" s="216"/>
      <c r="S18" s="41"/>
      <c r="T18" s="107"/>
      <c r="U18" s="37"/>
    </row>
    <row r="19" spans="1:34" s="76" customFormat="1">
      <c r="A19" s="2" t="s">
        <v>156</v>
      </c>
      <c r="B19" s="2"/>
      <c r="C19" s="380">
        <f>VLOOKUP(MONTH(C6),Input!$R$53:$V$64,5)</f>
        <v>0.68676830481927698</v>
      </c>
      <c r="D19" s="380">
        <f>VLOOKUP(MONTH(D6),Input!$R$53:$V$64,5)</f>
        <v>0.67216632788012098</v>
      </c>
      <c r="E19" s="380">
        <f>VLOOKUP(MONTH(E6),Input!$R$53:$V$64,5)</f>
        <v>0.72256255408489278</v>
      </c>
      <c r="F19" s="380">
        <f>VLOOKUP(MONTH(F6),Input!$R$53:$V$64,5)</f>
        <v>0.67919671484750066</v>
      </c>
      <c r="G19" s="380">
        <f>VLOOKUP(MONTH(G6),Input!$R$53:$V$64,5)</f>
        <v>0.72446134803993378</v>
      </c>
      <c r="H19" s="380">
        <f>VLOOKUP(MONTH(H6),Input!$R$53:$V$64,5)</f>
        <v>0.73768548903620601</v>
      </c>
      <c r="I19" s="380">
        <f>VLOOKUP(MONTH(I6),Input!$R$53:$V$64,5)</f>
        <v>0.92314635022225089</v>
      </c>
      <c r="J19" s="380">
        <f>VLOOKUP(MONTH(J6),Input!$R$53:$V$64,5)</f>
        <v>0.89541884574449515</v>
      </c>
      <c r="K19" s="380">
        <f>VLOOKUP(MONTH(K6),Input!$R$53:$V$64,5)</f>
        <v>0.97392756995808671</v>
      </c>
      <c r="L19" s="380">
        <f>VLOOKUP(MONTH(L6),Input!$R$53:$V$64,5)</f>
        <v>0.91751583639363077</v>
      </c>
      <c r="M19" s="380">
        <f>VLOOKUP(MONTH(M6),Input!$R$53:$V$64,5)</f>
        <v>0.907463502308961</v>
      </c>
      <c r="N19" s="380">
        <f>VLOOKUP(MONTH(N6),Input!$R$53:$V$64,5)</f>
        <v>0.90331765702852707</v>
      </c>
      <c r="O19" s="342"/>
      <c r="P19" s="343"/>
      <c r="Q19" s="337"/>
      <c r="R19" s="341"/>
      <c r="S19" s="337"/>
      <c r="T19" s="337"/>
    </row>
    <row r="20" spans="1:34" ht="15.5">
      <c r="A20" s="212" t="s">
        <v>157</v>
      </c>
      <c r="B20" s="2"/>
      <c r="C20" s="41">
        <f>C11*(1-C19)</f>
        <v>281.99622139023364</v>
      </c>
      <c r="D20" s="41">
        <f t="shared" ref="D20:N20" si="3">D11*(1-D19)</f>
        <v>364.72375292714992</v>
      </c>
      <c r="E20" s="41">
        <f t="shared" si="3"/>
        <v>373.62400834914172</v>
      </c>
      <c r="F20" s="41">
        <f t="shared" si="3"/>
        <v>394.96588699130291</v>
      </c>
      <c r="G20" s="41">
        <f t="shared" si="3"/>
        <v>395.9007898304165</v>
      </c>
      <c r="H20" s="41">
        <f t="shared" si="3"/>
        <v>344.70505935167159</v>
      </c>
      <c r="I20" s="41">
        <f t="shared" si="3"/>
        <v>99.846655633414144</v>
      </c>
      <c r="J20" s="41">
        <f t="shared" si="3"/>
        <v>210.55025277356927</v>
      </c>
      <c r="K20" s="41">
        <f t="shared" si="3"/>
        <v>31.489582738125367</v>
      </c>
      <c r="L20" s="41">
        <f t="shared" si="3"/>
        <v>105.46507646833749</v>
      </c>
      <c r="M20" s="41">
        <f t="shared" si="3"/>
        <v>114.72269605496628</v>
      </c>
      <c r="N20" s="41">
        <f t="shared" si="3"/>
        <v>108.26618839774969</v>
      </c>
      <c r="O20" s="213">
        <f>SUM(C20:N20)</f>
        <v>2826.2561709060792</v>
      </c>
      <c r="P20" s="194">
        <f>O20/$O$12</f>
        <v>1.8233910780039221E-3</v>
      </c>
      <c r="Q20" s="41"/>
      <c r="R20" s="41"/>
      <c r="S20" s="41"/>
      <c r="T20" s="107"/>
      <c r="U20" s="37"/>
    </row>
    <row r="21" spans="1:34" ht="15.5">
      <c r="A21" s="107"/>
      <c r="B21" s="2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04"/>
      <c r="P21" s="42"/>
      <c r="Q21" s="41"/>
      <c r="R21" s="41"/>
      <c r="S21" s="41"/>
      <c r="T21" s="107"/>
      <c r="U21" s="37"/>
    </row>
    <row r="22" spans="1:34" ht="15.5">
      <c r="A22" s="107" t="s">
        <v>158</v>
      </c>
      <c r="B22" s="2"/>
      <c r="C22" s="215">
        <f>SUM(C16:C20)</f>
        <v>35888.809101295563</v>
      </c>
      <c r="D22" s="215">
        <f t="shared" ref="D22:N22" si="4">SUM(D16:D20)</f>
        <v>39784.505822532446</v>
      </c>
      <c r="E22" s="215">
        <f t="shared" si="4"/>
        <v>46894.710322063656</v>
      </c>
      <c r="F22" s="215">
        <f t="shared" si="4"/>
        <v>46262.830766606246</v>
      </c>
      <c r="G22" s="215">
        <f t="shared" si="4"/>
        <v>48892.462964003549</v>
      </c>
      <c r="H22" s="215">
        <f t="shared" si="4"/>
        <v>49093.469744288945</v>
      </c>
      <c r="I22" s="215">
        <f t="shared" si="4"/>
        <v>43968.340044652512</v>
      </c>
      <c r="J22" s="215">
        <f t="shared" si="4"/>
        <v>70682.927699777181</v>
      </c>
      <c r="K22" s="215">
        <f t="shared" si="4"/>
        <v>43764.925036480905</v>
      </c>
      <c r="L22" s="215">
        <f t="shared" si="4"/>
        <v>44970.084036361339</v>
      </c>
      <c r="M22" s="215">
        <f t="shared" si="4"/>
        <v>43291.0644081133</v>
      </c>
      <c r="N22" s="215">
        <f t="shared" si="4"/>
        <v>39665.766732378332</v>
      </c>
      <c r="O22" s="213">
        <f>SUM(C22:N22)</f>
        <v>553159.89667855401</v>
      </c>
      <c r="P22" s="194">
        <f>O22/$O$12</f>
        <v>0.35687735269584131</v>
      </c>
      <c r="Q22" s="41"/>
      <c r="R22" s="41"/>
      <c r="S22" s="41"/>
      <c r="T22" s="41"/>
      <c r="U22" s="205"/>
    </row>
    <row r="23" spans="1:34" ht="15.5">
      <c r="A23" s="107" t="s">
        <v>147</v>
      </c>
      <c r="B23" s="2"/>
      <c r="C23" s="41" t="s">
        <v>147</v>
      </c>
      <c r="D23" s="41" t="s">
        <v>147</v>
      </c>
      <c r="E23" s="41" t="s">
        <v>147</v>
      </c>
      <c r="F23" s="41" t="s">
        <v>147</v>
      </c>
      <c r="G23" s="41" t="s">
        <v>147</v>
      </c>
      <c r="H23" s="41" t="s">
        <v>147</v>
      </c>
      <c r="I23" s="41" t="s">
        <v>147</v>
      </c>
      <c r="J23" s="41" t="s">
        <v>147</v>
      </c>
      <c r="K23" s="41" t="s">
        <v>147</v>
      </c>
      <c r="L23" s="41" t="s">
        <v>147</v>
      </c>
      <c r="M23" s="41" t="s">
        <v>147</v>
      </c>
      <c r="N23" s="41" t="s">
        <v>147</v>
      </c>
      <c r="O23" s="204"/>
      <c r="P23" s="42"/>
      <c r="Q23" s="41"/>
      <c r="R23" s="41"/>
      <c r="S23" s="41"/>
      <c r="T23" s="41"/>
      <c r="U23" s="205"/>
    </row>
    <row r="24" spans="1:34" ht="15.5">
      <c r="A24" s="42" t="s">
        <v>159</v>
      </c>
      <c r="B24" s="2"/>
      <c r="C24" s="41">
        <f t="shared" ref="C24:N24" si="5">C12-C22</f>
        <v>54139.187978480179</v>
      </c>
      <c r="D24" s="41">
        <f t="shared" si="5"/>
        <v>71468.176236856802</v>
      </c>
      <c r="E24" s="41">
        <f t="shared" si="5"/>
        <v>87774.929212992545</v>
      </c>
      <c r="F24" s="41">
        <f t="shared" si="5"/>
        <v>76854.950525299384</v>
      </c>
      <c r="G24" s="41">
        <f t="shared" si="5"/>
        <v>94790.02477923836</v>
      </c>
      <c r="H24" s="41">
        <f t="shared" si="5"/>
        <v>82315.600262992986</v>
      </c>
      <c r="I24" s="41">
        <f t="shared" si="5"/>
        <v>85949.570063921099</v>
      </c>
      <c r="J24" s="41">
        <f t="shared" si="5"/>
        <v>130644.21797234693</v>
      </c>
      <c r="K24" s="41">
        <f t="shared" si="5"/>
        <v>77012.396783938573</v>
      </c>
      <c r="L24" s="41">
        <f t="shared" si="5"/>
        <v>82890.916011645008</v>
      </c>
      <c r="M24" s="41">
        <f t="shared" si="5"/>
        <v>80684.554852951114</v>
      </c>
      <c r="N24" s="41">
        <f t="shared" si="5"/>
        <v>72315.578640783118</v>
      </c>
      <c r="O24" s="198">
        <f>SUM(C24:N24)</f>
        <v>996840.10332144599</v>
      </c>
      <c r="P24" s="194">
        <f>O24/$O$12</f>
        <v>0.64312264730415869</v>
      </c>
      <c r="Q24" s="41"/>
      <c r="R24" s="41"/>
      <c r="S24" s="41"/>
      <c r="T24" s="41"/>
      <c r="U24" s="205"/>
    </row>
    <row r="25" spans="1:34" ht="15.5">
      <c r="A25" s="205" t="s">
        <v>45</v>
      </c>
      <c r="B25" s="217"/>
      <c r="C25" s="216">
        <f t="shared" ref="C25:O25" si="6">C24/C12</f>
        <v>0.60135946299578658</v>
      </c>
      <c r="D25" s="216">
        <f t="shared" si="6"/>
        <v>0.64239508579851978</v>
      </c>
      <c r="E25" s="216">
        <f t="shared" si="6"/>
        <v>0.65177964028145807</v>
      </c>
      <c r="F25" s="216">
        <f t="shared" si="6"/>
        <v>0.62423924244606421</v>
      </c>
      <c r="G25" s="216">
        <f t="shared" si="6"/>
        <v>0.65971870523724829</v>
      </c>
      <c r="H25" s="216">
        <f t="shared" si="6"/>
        <v>0.62640729637940162</v>
      </c>
      <c r="I25" s="216">
        <f t="shared" si="6"/>
        <v>0.66156829333301503</v>
      </c>
      <c r="J25" s="216">
        <f t="shared" si="6"/>
        <v>0.6489150657562619</v>
      </c>
      <c r="K25" s="216">
        <f t="shared" si="6"/>
        <v>0.63763954708687953</v>
      </c>
      <c r="L25" s="216">
        <f t="shared" si="6"/>
        <v>0.64828928274081232</v>
      </c>
      <c r="M25" s="216">
        <f t="shared" si="6"/>
        <v>0.65080985546882264</v>
      </c>
      <c r="N25" s="216">
        <f t="shared" si="6"/>
        <v>0.64578237026713714</v>
      </c>
      <c r="O25" s="218">
        <f t="shared" si="6"/>
        <v>0.64312264730415869</v>
      </c>
      <c r="P25" s="219"/>
      <c r="Q25" s="216"/>
      <c r="R25" s="41"/>
      <c r="S25" s="41"/>
      <c r="T25" s="41"/>
      <c r="U25" s="205"/>
    </row>
    <row r="26" spans="1:34" ht="15.5">
      <c r="A26" s="2" t="s">
        <v>147</v>
      </c>
      <c r="B26" s="2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204"/>
      <c r="P26" s="42"/>
      <c r="Q26" s="41"/>
      <c r="R26" s="41"/>
      <c r="S26" s="41"/>
      <c r="T26" s="41"/>
      <c r="U26" s="205"/>
    </row>
    <row r="27" spans="1:34" ht="15.5">
      <c r="A27" s="2" t="s">
        <v>147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204"/>
      <c r="P27" s="42"/>
      <c r="Q27" s="41"/>
      <c r="R27" s="41"/>
      <c r="S27" s="41"/>
      <c r="T27" s="41"/>
      <c r="U27" s="205"/>
    </row>
    <row r="28" spans="1:34" ht="15.5">
      <c r="A28" s="42" t="s">
        <v>160</v>
      </c>
      <c r="B28" s="2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204"/>
      <c r="P28" s="42"/>
      <c r="Q28" s="41"/>
      <c r="R28" s="41"/>
      <c r="S28" s="41"/>
      <c r="T28" s="41"/>
      <c r="U28" s="205"/>
    </row>
    <row r="29" spans="1:34" ht="15.5">
      <c r="A29" s="31" t="s">
        <v>161</v>
      </c>
      <c r="B29" s="2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204"/>
      <c r="P29" s="42"/>
      <c r="Q29" s="41"/>
      <c r="R29" s="41"/>
      <c r="S29" s="41"/>
      <c r="T29" s="41"/>
      <c r="U29" s="205"/>
    </row>
    <row r="30" spans="1:34" ht="15.5">
      <c r="A30" s="8" t="str">
        <f>Input!C19</f>
        <v>OWNER</v>
      </c>
      <c r="B30" s="2"/>
      <c r="C30" s="41">
        <f>Input!$C$21/12</f>
        <v>0</v>
      </c>
      <c r="D30" s="41">
        <f>Input!$C$21/12</f>
        <v>0</v>
      </c>
      <c r="E30" s="41">
        <f>Input!$C$21/12</f>
        <v>0</v>
      </c>
      <c r="F30" s="41">
        <f>Input!$C$21/12</f>
        <v>0</v>
      </c>
      <c r="G30" s="41">
        <f>Input!$C$21/12</f>
        <v>0</v>
      </c>
      <c r="H30" s="41">
        <f>Input!$C$21/12</f>
        <v>0</v>
      </c>
      <c r="I30" s="41">
        <f>Input!$C$21/12</f>
        <v>0</v>
      </c>
      <c r="J30" s="41">
        <f>Input!$C$21/12</f>
        <v>0</v>
      </c>
      <c r="K30" s="41">
        <f>Input!$C$21/12</f>
        <v>0</v>
      </c>
      <c r="L30" s="41">
        <f>Input!$C$21/12</f>
        <v>0</v>
      </c>
      <c r="M30" s="41">
        <f>Input!$C$21/12</f>
        <v>0</v>
      </c>
      <c r="N30" s="41">
        <f>Input!$C$21/12</f>
        <v>0</v>
      </c>
      <c r="O30" s="198">
        <f t="shared" ref="O30:O64" si="7">SUM(C30:N30)</f>
        <v>0</v>
      </c>
      <c r="P30" s="194">
        <f t="shared" ref="P30:P36" si="8">O30/$O$12</f>
        <v>0</v>
      </c>
      <c r="Q30" s="41"/>
      <c r="R30" s="41"/>
      <c r="S30" s="41"/>
      <c r="T30" s="41"/>
      <c r="U30" s="205"/>
    </row>
    <row r="31" spans="1:34" ht="15.5">
      <c r="A31" s="8" t="str">
        <f>Input!C25</f>
        <v>MANAGER</v>
      </c>
      <c r="B31" s="10"/>
      <c r="C31" s="41">
        <f>(Input!$C$27+Input!$E$27)/12+(Input!$G$27*Input!$C$14)/12</f>
        <v>5000</v>
      </c>
      <c r="D31" s="41">
        <f>(Input!$C$27+Input!$E$27)/12+(Input!$G$27*Input!$C$14)/12</f>
        <v>5000</v>
      </c>
      <c r="E31" s="41">
        <f>(Input!$C$27+Input!$E$27)/12+(Input!$G$27*Input!$C$14)/12</f>
        <v>5000</v>
      </c>
      <c r="F31" s="41">
        <f>(Input!$C$27+Input!$E$27)/12+(Input!$G$27*Input!$C$14)/12</f>
        <v>5000</v>
      </c>
      <c r="G31" s="41">
        <f>(Input!$C$27+Input!$E$27)/12+(Input!$G$27*Input!$C$14)/12</f>
        <v>5000</v>
      </c>
      <c r="H31" s="41">
        <f>(Input!$C$27+Input!$E$27)/12+(Input!$G$27*Input!$C$14)/12</f>
        <v>5000</v>
      </c>
      <c r="I31" s="41">
        <f>(Input!$C$27+Input!$E$27)/12+(Input!$G$27*Input!$C$14)/12</f>
        <v>5000</v>
      </c>
      <c r="J31" s="41">
        <f>(Input!$C$27+Input!$E$27)/12+(Input!$G$27*Input!$C$14)/12</f>
        <v>5000</v>
      </c>
      <c r="K31" s="41">
        <f>(Input!$C$27+Input!$E$27)/12+(Input!$G$27*Input!$C$14)/12</f>
        <v>5000</v>
      </c>
      <c r="L31" s="41">
        <f>(Input!$C$27+Input!$E$27)/12+(Input!$G$27*Input!$C$14)/12</f>
        <v>5000</v>
      </c>
      <c r="M31" s="41">
        <f>(Input!$C$27+Input!$E$27)/12+(Input!$G$27*Input!$C$14)/12</f>
        <v>5000</v>
      </c>
      <c r="N31" s="41">
        <f>(Input!$C$27+Input!$E$27)/12+(Input!$G$27*Input!$C$14)/12</f>
        <v>5000</v>
      </c>
      <c r="O31" s="198">
        <f t="shared" si="7"/>
        <v>60000</v>
      </c>
      <c r="P31" s="194">
        <f t="shared" si="8"/>
        <v>3.870967741935484E-2</v>
      </c>
      <c r="Q31" s="41"/>
      <c r="R31" s="41"/>
      <c r="S31" s="41"/>
      <c r="T31" s="41"/>
      <c r="U31" s="205"/>
    </row>
    <row r="32" spans="1:34" ht="15.5">
      <c r="A32" s="8" t="str">
        <f>Input!J6</f>
        <v>HOURLY LABOR COST</v>
      </c>
      <c r="B32" s="2"/>
      <c r="C32" s="41">
        <f>Input!$M$6*C8</f>
        <v>0</v>
      </c>
      <c r="D32" s="41">
        <f>Input!$M$6*D8</f>
        <v>0</v>
      </c>
      <c r="E32" s="41">
        <f>Input!$M$6*E8</f>
        <v>0</v>
      </c>
      <c r="F32" s="41">
        <f>Input!$M$6*F8</f>
        <v>0</v>
      </c>
      <c r="G32" s="41">
        <f>Input!$M$6*G8</f>
        <v>0</v>
      </c>
      <c r="H32" s="41">
        <f>Input!$M$6*H8</f>
        <v>0</v>
      </c>
      <c r="I32" s="41">
        <f>Input!$M$6*I8</f>
        <v>0</v>
      </c>
      <c r="J32" s="41">
        <f>Input!$M$6*J8</f>
        <v>0</v>
      </c>
      <c r="K32" s="41">
        <f>Input!$M$6*K8</f>
        <v>0</v>
      </c>
      <c r="L32" s="41">
        <f>Input!$M$6*L8</f>
        <v>0</v>
      </c>
      <c r="M32" s="41">
        <f>Input!$M$6*M8</f>
        <v>0</v>
      </c>
      <c r="N32" s="41">
        <f>Input!$M$6*N8</f>
        <v>0</v>
      </c>
      <c r="O32" s="198">
        <f t="shared" si="7"/>
        <v>0</v>
      </c>
      <c r="P32" s="194">
        <f t="shared" si="8"/>
        <v>0</v>
      </c>
      <c r="Q32" s="41"/>
      <c r="R32" s="41"/>
      <c r="S32" s="41"/>
      <c r="T32" s="41"/>
      <c r="U32" s="205"/>
    </row>
    <row r="33" spans="1:34" ht="15.5">
      <c r="A33" s="8" t="str">
        <f>Input!J7</f>
        <v>PAYROLL TAXES</v>
      </c>
      <c r="B33" s="2"/>
      <c r="C33" s="41">
        <f>(C30+C31+C32)*Input!$M$7</f>
        <v>450</v>
      </c>
      <c r="D33" s="41">
        <f>(D30+D31+D32)*Input!$M$7</f>
        <v>450</v>
      </c>
      <c r="E33" s="41">
        <f>(E30+E31+E32)*Input!$M$7</f>
        <v>450</v>
      </c>
      <c r="F33" s="41">
        <f>(F30+F31+F32)*Input!$M$7</f>
        <v>450</v>
      </c>
      <c r="G33" s="41">
        <f>(G30+G31+G32)*Input!$M$7</f>
        <v>450</v>
      </c>
      <c r="H33" s="41">
        <f>(H30+H31+H32)*Input!$M$7</f>
        <v>450</v>
      </c>
      <c r="I33" s="41">
        <f>(I30+I31+I32)*Input!$M$7</f>
        <v>450</v>
      </c>
      <c r="J33" s="41">
        <f>(J30+J31+J32)*Input!$M$7</f>
        <v>450</v>
      </c>
      <c r="K33" s="41">
        <f>(K30+K31+K32)*Input!$M$7</f>
        <v>450</v>
      </c>
      <c r="L33" s="41">
        <f>(L30+L31+L32)*Input!$M$7</f>
        <v>450</v>
      </c>
      <c r="M33" s="41">
        <f>(M30+M31+M32)*Input!$M$7</f>
        <v>450</v>
      </c>
      <c r="N33" s="41">
        <f>(N30+N31+N32)*Input!$M$7</f>
        <v>450</v>
      </c>
      <c r="O33" s="198">
        <f t="shared" si="7"/>
        <v>5400</v>
      </c>
      <c r="P33" s="194">
        <f t="shared" si="8"/>
        <v>3.4838709677419357E-3</v>
      </c>
      <c r="Q33" s="41"/>
      <c r="R33" s="41"/>
      <c r="S33" s="41"/>
      <c r="T33" s="41"/>
      <c r="U33" s="41"/>
    </row>
    <row r="34" spans="1:34" ht="15.5">
      <c r="A34" s="8" t="str">
        <f>Input!J9</f>
        <v>WORKERS COMP INS</v>
      </c>
      <c r="B34" s="2"/>
      <c r="C34" s="41">
        <f>(C30+C31+C32)*Input!$M$9</f>
        <v>10</v>
      </c>
      <c r="D34" s="41">
        <f>(D30+D31+D32)*Input!$M$9</f>
        <v>10</v>
      </c>
      <c r="E34" s="41">
        <f>(E30+E31+E32)*Input!$M$9</f>
        <v>10</v>
      </c>
      <c r="F34" s="41">
        <f>(F30+F31+F32)*Input!$M$9</f>
        <v>10</v>
      </c>
      <c r="G34" s="41">
        <f>(G30+G31+G32)*Input!$M$9</f>
        <v>10</v>
      </c>
      <c r="H34" s="41">
        <f>(H30+H31+H32)*Input!$M$9</f>
        <v>10</v>
      </c>
      <c r="I34" s="41">
        <f>(I30+I31+I32)*Input!$M$9</f>
        <v>10</v>
      </c>
      <c r="J34" s="41">
        <f>(J30+J31+J32)*Input!$M$9</f>
        <v>10</v>
      </c>
      <c r="K34" s="41">
        <f>(K30+K31+K32)*Input!$M$9</f>
        <v>10</v>
      </c>
      <c r="L34" s="41">
        <f>(L30+L31+L32)*Input!$M$9</f>
        <v>10</v>
      </c>
      <c r="M34" s="41">
        <f>(M30+M31+M32)*Input!$M$9</f>
        <v>10</v>
      </c>
      <c r="N34" s="41">
        <f>(N30+N31+N32)*Input!$M$9</f>
        <v>10</v>
      </c>
      <c r="O34" s="198">
        <f t="shared" si="7"/>
        <v>120</v>
      </c>
      <c r="P34" s="194">
        <f t="shared" si="8"/>
        <v>7.7419354838709683E-5</v>
      </c>
      <c r="Q34" s="41"/>
      <c r="R34" s="222"/>
      <c r="S34" s="222"/>
      <c r="T34" s="222"/>
      <c r="U34" s="222"/>
    </row>
    <row r="35" spans="1:34" ht="15.5">
      <c r="A35" s="8" t="str">
        <f>Input!J8</f>
        <v>PAYROLL SERVICES</v>
      </c>
      <c r="B35" s="2"/>
      <c r="C35" s="41">
        <f>Input!$M$8</f>
        <v>0</v>
      </c>
      <c r="D35" s="41">
        <f>Input!$M$8</f>
        <v>0</v>
      </c>
      <c r="E35" s="41">
        <f>Input!$M$8</f>
        <v>0</v>
      </c>
      <c r="F35" s="41">
        <f>Input!$M$8</f>
        <v>0</v>
      </c>
      <c r="G35" s="41">
        <f>Input!$M$8</f>
        <v>0</v>
      </c>
      <c r="H35" s="41">
        <f>Input!$M$8</f>
        <v>0</v>
      </c>
      <c r="I35" s="41">
        <f>Input!$M$8</f>
        <v>0</v>
      </c>
      <c r="J35" s="41">
        <f>Input!$M$8</f>
        <v>0</v>
      </c>
      <c r="K35" s="41">
        <f>Input!$M$8</f>
        <v>0</v>
      </c>
      <c r="L35" s="41">
        <f>Input!$M$8</f>
        <v>0</v>
      </c>
      <c r="M35" s="41">
        <f>Input!$M$8</f>
        <v>0</v>
      </c>
      <c r="N35" s="41">
        <f>Input!$M$8</f>
        <v>0</v>
      </c>
      <c r="O35" s="198">
        <f t="shared" si="7"/>
        <v>0</v>
      </c>
      <c r="P35" s="194">
        <f t="shared" si="8"/>
        <v>0</v>
      </c>
      <c r="Q35" s="41"/>
      <c r="R35" s="197"/>
      <c r="S35" s="199"/>
      <c r="T35" s="199"/>
      <c r="U35" s="200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ht="15.5">
      <c r="A36" s="220" t="s">
        <v>162</v>
      </c>
      <c r="B36" s="2"/>
      <c r="C36" s="41">
        <f>SUM(C30:C35)</f>
        <v>5460</v>
      </c>
      <c r="D36" s="41">
        <f>SUM(D30:D35)</f>
        <v>5460</v>
      </c>
      <c r="E36" s="41">
        <f>SUM(E30:E35)</f>
        <v>5460</v>
      </c>
      <c r="F36" s="41">
        <f>SUM(F30:F35)</f>
        <v>5460</v>
      </c>
      <c r="G36" s="41">
        <f t="shared" ref="G36:N36" si="9">SUM(G30:G35)</f>
        <v>5460</v>
      </c>
      <c r="H36" s="41">
        <f t="shared" si="9"/>
        <v>5460</v>
      </c>
      <c r="I36" s="41">
        <f t="shared" si="9"/>
        <v>5460</v>
      </c>
      <c r="J36" s="41">
        <f t="shared" si="9"/>
        <v>5460</v>
      </c>
      <c r="K36" s="41">
        <f t="shared" si="9"/>
        <v>5460</v>
      </c>
      <c r="L36" s="41">
        <f t="shared" si="9"/>
        <v>5460</v>
      </c>
      <c r="M36" s="41">
        <f t="shared" si="9"/>
        <v>5460</v>
      </c>
      <c r="N36" s="41">
        <f t="shared" si="9"/>
        <v>5460</v>
      </c>
      <c r="O36" s="198">
        <f>SUM(C36:N36)</f>
        <v>65520</v>
      </c>
      <c r="P36" s="194">
        <f t="shared" si="8"/>
        <v>4.2270967741935485E-2</v>
      </c>
      <c r="Q36" s="41"/>
      <c r="R36" s="41"/>
      <c r="S36" s="41"/>
      <c r="T36" s="41"/>
      <c r="U36" s="205"/>
    </row>
    <row r="37" spans="1:34" ht="15.5">
      <c r="A37" s="221" t="s">
        <v>163</v>
      </c>
      <c r="B37" s="2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204"/>
      <c r="P37" s="42"/>
      <c r="Q37" s="41"/>
      <c r="R37" s="41"/>
      <c r="S37" s="41"/>
      <c r="T37" s="41"/>
      <c r="U37" s="205"/>
    </row>
    <row r="38" spans="1:34" ht="15.5">
      <c r="A38" s="8" t="str">
        <f>Input!J11</f>
        <v>ADVERTISING</v>
      </c>
      <c r="B38" s="2"/>
      <c r="C38" s="41">
        <f>C12*Input!$M$11</f>
        <v>4951.5398393876658</v>
      </c>
      <c r="D38" s="41">
        <f>D12*Input!$M$11</f>
        <v>6118.8975132664091</v>
      </c>
      <c r="E38" s="41">
        <f>E12*Input!$M$11</f>
        <v>7406.8301744280907</v>
      </c>
      <c r="F38" s="41">
        <f>F12*Input!$M$11</f>
        <v>6771.47797105481</v>
      </c>
      <c r="G38" s="41">
        <f>G12*Input!$M$11</f>
        <v>7902.5368258783055</v>
      </c>
      <c r="H38" s="41">
        <f>H12*Input!$M$11</f>
        <v>7227.4988504005059</v>
      </c>
      <c r="I38" s="41">
        <f>I12*Input!$M$11</f>
        <v>7145.4850559715478</v>
      </c>
      <c r="J38" s="41">
        <f>J12*Input!$M$11</f>
        <v>11072.993011966826</v>
      </c>
      <c r="K38" s="41">
        <f>K12*Input!$M$11</f>
        <v>6642.7527001230719</v>
      </c>
      <c r="L38" s="41">
        <f>L12*Input!$M$11</f>
        <v>7032.3550026403491</v>
      </c>
      <c r="M38" s="41">
        <f>M12*Input!$M$11</f>
        <v>6818.6590593585424</v>
      </c>
      <c r="N38" s="41">
        <f>N12*Input!$M$11</f>
        <v>6158.9739955238801</v>
      </c>
      <c r="O38" s="198">
        <f t="shared" si="7"/>
        <v>85250</v>
      </c>
      <c r="P38" s="194">
        <f t="shared" ref="P38:P57" si="10">O38/$O$12</f>
        <v>5.5E-2</v>
      </c>
      <c r="Q38" s="41"/>
      <c r="R38" s="41"/>
      <c r="S38" s="41"/>
      <c r="T38" s="41"/>
      <c r="U38" s="205"/>
    </row>
    <row r="39" spans="1:34" ht="15.5">
      <c r="A39" s="9" t="str">
        <f>Input!J12</f>
        <v>ACCOUNTING FEES</v>
      </c>
      <c r="B39" s="2"/>
      <c r="C39" s="41">
        <f>Input!$M$12</f>
        <v>0</v>
      </c>
      <c r="D39" s="41">
        <f>Input!$M$12</f>
        <v>0</v>
      </c>
      <c r="E39" s="41">
        <f>Input!$M$12</f>
        <v>0</v>
      </c>
      <c r="F39" s="41">
        <f>Input!$M$12</f>
        <v>0</v>
      </c>
      <c r="G39" s="41">
        <f>Input!$M$12</f>
        <v>0</v>
      </c>
      <c r="H39" s="41">
        <f>Input!$M$12</f>
        <v>0</v>
      </c>
      <c r="I39" s="41">
        <f>Input!$M$12</f>
        <v>0</v>
      </c>
      <c r="J39" s="41">
        <f>Input!$M$12</f>
        <v>0</v>
      </c>
      <c r="K39" s="41">
        <f>Input!$M$12</f>
        <v>0</v>
      </c>
      <c r="L39" s="41">
        <f>Input!$M$12</f>
        <v>0</v>
      </c>
      <c r="M39" s="41">
        <f>Input!$M$12</f>
        <v>0</v>
      </c>
      <c r="N39" s="41">
        <f>Input!$M$12</f>
        <v>0</v>
      </c>
      <c r="O39" s="198">
        <f t="shared" si="7"/>
        <v>0</v>
      </c>
      <c r="P39" s="194">
        <f t="shared" si="10"/>
        <v>0</v>
      </c>
      <c r="Q39" s="41"/>
      <c r="R39" s="41"/>
      <c r="S39" s="41"/>
      <c r="T39" s="41"/>
      <c r="U39" s="205"/>
    </row>
    <row r="40" spans="1:34" ht="15.5">
      <c r="A40" s="9" t="str">
        <f>Input!J13</f>
        <v xml:space="preserve">ROYALTY </v>
      </c>
      <c r="B40" s="2"/>
      <c r="C40" s="222">
        <f>C12*Input!$M$13</f>
        <v>4501.3998539887871</v>
      </c>
      <c r="D40" s="222">
        <f>D12*Input!$M$13</f>
        <v>5562.6341029694631</v>
      </c>
      <c r="E40" s="222">
        <f>E12*Input!$M$13</f>
        <v>6733.4819767528097</v>
      </c>
      <c r="F40" s="222">
        <f>F12*Input!$M$13</f>
        <v>6155.8890645952815</v>
      </c>
      <c r="G40" s="222">
        <f>G12*Input!$M$13</f>
        <v>7184.1243871620964</v>
      </c>
      <c r="H40" s="222">
        <f>H12*Input!$M$13</f>
        <v>6570.4535003640967</v>
      </c>
      <c r="I40" s="222">
        <f>I12*Input!$M$13</f>
        <v>6495.8955054286807</v>
      </c>
      <c r="J40" s="222">
        <f>J12*Input!$M$13</f>
        <v>10066.357283606207</v>
      </c>
      <c r="K40" s="222">
        <f>K12*Input!$M$13</f>
        <v>6038.8660910209746</v>
      </c>
      <c r="L40" s="222">
        <f>L12*Input!$M$13</f>
        <v>6393.0500024003177</v>
      </c>
      <c r="M40" s="222">
        <f>M12*Input!$M$13</f>
        <v>6198.7809630532211</v>
      </c>
      <c r="N40" s="222">
        <f>N12*Input!$M$13</f>
        <v>5599.0672686580729</v>
      </c>
      <c r="O40" s="198">
        <f t="shared" si="7"/>
        <v>77500</v>
      </c>
      <c r="P40" s="194">
        <f t="shared" si="10"/>
        <v>0.05</v>
      </c>
      <c r="Q40" s="222"/>
      <c r="R40" s="41"/>
      <c r="S40" s="222"/>
      <c r="T40" s="41"/>
      <c r="U40" s="205"/>
    </row>
    <row r="41" spans="1:34" s="14" customFormat="1" ht="15.5">
      <c r="A41" s="223" t="str">
        <f>Input!J14</f>
        <v>BANK/CREDIT CARD CHARGES</v>
      </c>
      <c r="B41" s="196"/>
      <c r="C41" s="197">
        <f>C12*Input!$M$14</f>
        <v>0</v>
      </c>
      <c r="D41" s="197">
        <f>D12*Input!$M$14</f>
        <v>0</v>
      </c>
      <c r="E41" s="197">
        <f>E12*Input!$M$14</f>
        <v>0</v>
      </c>
      <c r="F41" s="197">
        <f>F12*Input!$M$14</f>
        <v>0</v>
      </c>
      <c r="G41" s="197">
        <f>G12*Input!$M$14</f>
        <v>0</v>
      </c>
      <c r="H41" s="197">
        <f>H12*Input!$M$14</f>
        <v>0</v>
      </c>
      <c r="I41" s="197">
        <f>I12*Input!$M$14</f>
        <v>0</v>
      </c>
      <c r="J41" s="197">
        <f>J12*Input!$M$14</f>
        <v>0</v>
      </c>
      <c r="K41" s="197">
        <f>K12*Input!$M$14</f>
        <v>0</v>
      </c>
      <c r="L41" s="197">
        <f>L12*Input!$M$14</f>
        <v>0</v>
      </c>
      <c r="M41" s="197">
        <f>M12*Input!$M$14</f>
        <v>0</v>
      </c>
      <c r="N41" s="197">
        <f>N12*Input!$M$14</f>
        <v>0</v>
      </c>
      <c r="O41" s="198">
        <f t="shared" si="7"/>
        <v>0</v>
      </c>
      <c r="P41" s="194">
        <f t="shared" si="10"/>
        <v>0</v>
      </c>
      <c r="Q41" s="197"/>
      <c r="R41" s="41"/>
      <c r="S41" s="41"/>
      <c r="T41" s="41"/>
      <c r="U41" s="20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5">
      <c r="A42" s="9" t="str">
        <f>Input!J15</f>
        <v>CHECK GUARANTEE</v>
      </c>
      <c r="B42" s="2"/>
      <c r="C42" s="41">
        <f>C12*Input!$M$15</f>
        <v>0</v>
      </c>
      <c r="D42" s="41">
        <f>D12*Input!$M$15</f>
        <v>0</v>
      </c>
      <c r="E42" s="41">
        <f>E12*Input!$M$15</f>
        <v>0</v>
      </c>
      <c r="F42" s="41">
        <f>F12*Input!$M$15</f>
        <v>0</v>
      </c>
      <c r="G42" s="41">
        <f>G12*Input!$M$15</f>
        <v>0</v>
      </c>
      <c r="H42" s="41">
        <f>H12*Input!$M$15</f>
        <v>0</v>
      </c>
      <c r="I42" s="41">
        <f>I12*Input!$M$15</f>
        <v>0</v>
      </c>
      <c r="J42" s="41">
        <f>J12*Input!$M$15</f>
        <v>0</v>
      </c>
      <c r="K42" s="41">
        <f>K12*Input!$M$15</f>
        <v>0</v>
      </c>
      <c r="L42" s="41">
        <f>L12*Input!$M$15</f>
        <v>0</v>
      </c>
      <c r="M42" s="41">
        <f>M12*Input!$M$15</f>
        <v>0</v>
      </c>
      <c r="N42" s="41">
        <f>N12*Input!$M$15</f>
        <v>0</v>
      </c>
      <c r="O42" s="198">
        <f t="shared" si="7"/>
        <v>0</v>
      </c>
      <c r="P42" s="194">
        <f t="shared" si="10"/>
        <v>0</v>
      </c>
      <c r="Q42" s="41"/>
      <c r="R42" s="41"/>
      <c r="S42" s="41"/>
      <c r="T42" s="41"/>
      <c r="U42" s="205"/>
    </row>
    <row r="43" spans="1:34" ht="15.5">
      <c r="A43" s="9" t="str">
        <f>Input!J17</f>
        <v>RENT (Monthly: Base + CAM)</v>
      </c>
      <c r="B43" s="2"/>
      <c r="C43" s="41">
        <f>Input!$M$17</f>
        <v>15800</v>
      </c>
      <c r="D43" s="41">
        <f>Input!$M$17</f>
        <v>15800</v>
      </c>
      <c r="E43" s="41">
        <f>Input!$M$17</f>
        <v>15800</v>
      </c>
      <c r="F43" s="41">
        <f>Input!$M$17</f>
        <v>15800</v>
      </c>
      <c r="G43" s="41">
        <f>Input!$M$17</f>
        <v>15800</v>
      </c>
      <c r="H43" s="41">
        <f>Input!$M$17</f>
        <v>15800</v>
      </c>
      <c r="I43" s="41">
        <f>Input!$M$17</f>
        <v>15800</v>
      </c>
      <c r="J43" s="41">
        <f>Input!$M$17</f>
        <v>15800</v>
      </c>
      <c r="K43" s="41">
        <f>Input!$M$17</f>
        <v>15800</v>
      </c>
      <c r="L43" s="41">
        <f>Input!$M$17</f>
        <v>15800</v>
      </c>
      <c r="M43" s="41">
        <f>Input!$M$17</f>
        <v>15800</v>
      </c>
      <c r="N43" s="41">
        <f>Input!$M$17</f>
        <v>15800</v>
      </c>
      <c r="O43" s="198">
        <f t="shared" si="7"/>
        <v>189600</v>
      </c>
      <c r="P43" s="194">
        <f t="shared" si="10"/>
        <v>0.12232258064516129</v>
      </c>
      <c r="Q43" s="41"/>
      <c r="R43" s="41"/>
      <c r="S43" s="41"/>
      <c r="T43" s="41"/>
      <c r="U43" s="205"/>
    </row>
    <row r="44" spans="1:34" ht="15.5">
      <c r="A44" s="9" t="str">
        <f>Input!J18</f>
        <v>SECURITY MONITORING</v>
      </c>
      <c r="B44" s="2"/>
      <c r="C44" s="41">
        <f>Input!$M$18</f>
        <v>60</v>
      </c>
      <c r="D44" s="41">
        <f>Input!$M$18</f>
        <v>60</v>
      </c>
      <c r="E44" s="41">
        <f>Input!$M$18</f>
        <v>60</v>
      </c>
      <c r="F44" s="41">
        <f>Input!$M$18</f>
        <v>60</v>
      </c>
      <c r="G44" s="41">
        <f>Input!$M$18</f>
        <v>60</v>
      </c>
      <c r="H44" s="41">
        <f>Input!$M$18</f>
        <v>60</v>
      </c>
      <c r="I44" s="41">
        <f>Input!$M$18</f>
        <v>60</v>
      </c>
      <c r="J44" s="41">
        <f>Input!$M$18</f>
        <v>60</v>
      </c>
      <c r="K44" s="41">
        <f>Input!$M$18</f>
        <v>60</v>
      </c>
      <c r="L44" s="41">
        <f>Input!$M$18</f>
        <v>60</v>
      </c>
      <c r="M44" s="41">
        <f>Input!$M$18</f>
        <v>60</v>
      </c>
      <c r="N44" s="41">
        <f>Input!$M$18</f>
        <v>60</v>
      </c>
      <c r="O44" s="198">
        <f t="shared" si="7"/>
        <v>720</v>
      </c>
      <c r="P44" s="194">
        <f t="shared" si="10"/>
        <v>4.6451612903225807E-4</v>
      </c>
      <c r="Q44" s="41"/>
      <c r="R44" s="41"/>
      <c r="S44" s="41"/>
      <c r="T44" s="41"/>
      <c r="U44" s="205"/>
    </row>
    <row r="45" spans="1:34" ht="15.5">
      <c r="A45" s="9" t="str">
        <f>Input!J19</f>
        <v>LEASING PAYMENT</v>
      </c>
      <c r="B45" s="2"/>
      <c r="C45" s="41">
        <f>Input!$M$19</f>
        <v>0</v>
      </c>
      <c r="D45" s="41">
        <f>Input!$M$19</f>
        <v>0</v>
      </c>
      <c r="E45" s="41">
        <f>Input!$M$19</f>
        <v>0</v>
      </c>
      <c r="F45" s="41">
        <f>Input!$M$19</f>
        <v>0</v>
      </c>
      <c r="G45" s="41">
        <f>Input!$M$19</f>
        <v>0</v>
      </c>
      <c r="H45" s="41">
        <f>Input!$M$19</f>
        <v>0</v>
      </c>
      <c r="I45" s="41">
        <f>Input!$M$19</f>
        <v>0</v>
      </c>
      <c r="J45" s="41">
        <f>Input!$M$19</f>
        <v>0</v>
      </c>
      <c r="K45" s="41">
        <f>Input!$M$19</f>
        <v>0</v>
      </c>
      <c r="L45" s="41">
        <f>Input!$M$19</f>
        <v>0</v>
      </c>
      <c r="M45" s="41">
        <f>Input!$M$19</f>
        <v>0</v>
      </c>
      <c r="N45" s="41">
        <f>Input!$M$19</f>
        <v>0</v>
      </c>
      <c r="O45" s="198">
        <f t="shared" si="7"/>
        <v>0</v>
      </c>
      <c r="P45" s="194">
        <f t="shared" si="10"/>
        <v>0</v>
      </c>
      <c r="Q45" s="41"/>
      <c r="R45" s="41"/>
      <c r="S45" s="222"/>
      <c r="T45" s="222"/>
      <c r="U45" s="205"/>
    </row>
    <row r="46" spans="1:34" ht="15.5">
      <c r="A46" s="8" t="str">
        <f>Input!J21</f>
        <v>REPAIRS / MAINTANENCE</v>
      </c>
      <c r="B46" s="2"/>
      <c r="C46" s="41">
        <f>Input!$M$21</f>
        <v>269</v>
      </c>
      <c r="D46" s="41">
        <f>Input!$M$21</f>
        <v>269</v>
      </c>
      <c r="E46" s="41">
        <f>Input!$M$21</f>
        <v>269</v>
      </c>
      <c r="F46" s="41">
        <f>Input!$M$21</f>
        <v>269</v>
      </c>
      <c r="G46" s="41">
        <f>Input!$M$21</f>
        <v>269</v>
      </c>
      <c r="H46" s="41">
        <f>Input!$M$21</f>
        <v>269</v>
      </c>
      <c r="I46" s="41">
        <f>Input!$M$21</f>
        <v>269</v>
      </c>
      <c r="J46" s="41">
        <f>Input!$M$21</f>
        <v>269</v>
      </c>
      <c r="K46" s="41">
        <f>Input!$M$21</f>
        <v>269</v>
      </c>
      <c r="L46" s="41">
        <f>Input!$M$21</f>
        <v>269</v>
      </c>
      <c r="M46" s="41">
        <f>Input!$M$21</f>
        <v>269</v>
      </c>
      <c r="N46" s="41">
        <f>Input!$M$21</f>
        <v>269</v>
      </c>
      <c r="O46" s="198">
        <f t="shared" si="7"/>
        <v>3228</v>
      </c>
      <c r="P46" s="194">
        <f t="shared" si="10"/>
        <v>2.0825806451612904E-3</v>
      </c>
      <c r="Q46" s="41"/>
      <c r="R46" s="41"/>
      <c r="S46" s="41"/>
      <c r="T46" s="41"/>
      <c r="U46" s="205"/>
    </row>
    <row r="47" spans="1:34" ht="15.5">
      <c r="A47" s="8" t="str">
        <f>Input!J22</f>
        <v>BUS. TRAVEL/ENTERTAIN.</v>
      </c>
      <c r="B47" s="2"/>
      <c r="C47" s="41">
        <f>Input!$M$22</f>
        <v>309</v>
      </c>
      <c r="D47" s="41">
        <f>Input!$M$22</f>
        <v>309</v>
      </c>
      <c r="E47" s="41">
        <f>Input!$M$22</f>
        <v>309</v>
      </c>
      <c r="F47" s="41">
        <f>Input!$M$22</f>
        <v>309</v>
      </c>
      <c r="G47" s="41">
        <f>Input!$M$22</f>
        <v>309</v>
      </c>
      <c r="H47" s="41">
        <f>Input!$M$22</f>
        <v>309</v>
      </c>
      <c r="I47" s="41">
        <f>Input!$M$22</f>
        <v>309</v>
      </c>
      <c r="J47" s="41">
        <f>Input!$M$22</f>
        <v>309</v>
      </c>
      <c r="K47" s="41">
        <f>Input!$M$22</f>
        <v>309</v>
      </c>
      <c r="L47" s="41">
        <f>Input!$M$22</f>
        <v>309</v>
      </c>
      <c r="M47" s="41">
        <f>Input!$M$22</f>
        <v>309</v>
      </c>
      <c r="N47" s="41">
        <f>Input!$M$22</f>
        <v>309</v>
      </c>
      <c r="O47" s="198">
        <f t="shared" si="7"/>
        <v>3708</v>
      </c>
      <c r="P47" s="194">
        <f t="shared" si="10"/>
        <v>2.392258064516129E-3</v>
      </c>
      <c r="Q47" s="41"/>
      <c r="R47" s="41"/>
      <c r="S47" s="41"/>
      <c r="T47" s="41"/>
      <c r="U47" s="205"/>
    </row>
    <row r="48" spans="1:34" ht="15.5">
      <c r="A48" s="8" t="str">
        <f>Input!J23</f>
        <v>BUSINESS  VEHICLE</v>
      </c>
      <c r="B48" s="2"/>
      <c r="C48" s="41">
        <f>Input!$M$23</f>
        <v>476</v>
      </c>
      <c r="D48" s="41">
        <f>Input!$M$23</f>
        <v>476</v>
      </c>
      <c r="E48" s="41">
        <f>Input!$M$23</f>
        <v>476</v>
      </c>
      <c r="F48" s="41">
        <f>Input!$M$23</f>
        <v>476</v>
      </c>
      <c r="G48" s="41">
        <f>Input!$M$23</f>
        <v>476</v>
      </c>
      <c r="H48" s="41">
        <f>Input!$M$23</f>
        <v>476</v>
      </c>
      <c r="I48" s="41">
        <f>Input!$M$23</f>
        <v>476</v>
      </c>
      <c r="J48" s="41">
        <f>Input!$M$23</f>
        <v>476</v>
      </c>
      <c r="K48" s="41">
        <f>Input!$M$23</f>
        <v>476</v>
      </c>
      <c r="L48" s="41">
        <f>Input!$M$23</f>
        <v>476</v>
      </c>
      <c r="M48" s="41">
        <f>Input!$M$23</f>
        <v>476</v>
      </c>
      <c r="N48" s="41">
        <f>Input!$M$23</f>
        <v>476</v>
      </c>
      <c r="O48" s="198">
        <f t="shared" si="7"/>
        <v>5712</v>
      </c>
      <c r="P48" s="194">
        <f t="shared" si="10"/>
        <v>3.6851612903225808E-3</v>
      </c>
      <c r="Q48" s="41"/>
      <c r="R48" s="41"/>
      <c r="S48" s="41"/>
      <c r="T48" s="41"/>
      <c r="U48" s="205"/>
    </row>
    <row r="49" spans="1:21" ht="15.5">
      <c r="A49" s="9" t="str">
        <f>Input!J25</f>
        <v>OFFICE SUPPLIES &amp; EXP</v>
      </c>
      <c r="B49" s="2"/>
      <c r="C49" s="41">
        <f>C12*Input!$M$25</f>
        <v>1800.5599415955148</v>
      </c>
      <c r="D49" s="41">
        <f>D12*Input!$M$25</f>
        <v>2225.0536411877852</v>
      </c>
      <c r="E49" s="41">
        <f>E12*Input!$M$25</f>
        <v>2693.3927907011239</v>
      </c>
      <c r="F49" s="41">
        <f>F12*Input!$M$25</f>
        <v>2462.3556258381127</v>
      </c>
      <c r="G49" s="41">
        <f>G12*Input!$M$25</f>
        <v>2873.6497548648385</v>
      </c>
      <c r="H49" s="41">
        <f>H12*Input!$M$25</f>
        <v>2628.1814001456387</v>
      </c>
      <c r="I49" s="41">
        <f>I12*Input!$M$25</f>
        <v>2598.3582021714719</v>
      </c>
      <c r="J49" s="41">
        <f>J12*Input!$M$25</f>
        <v>4026.5429134424821</v>
      </c>
      <c r="K49" s="41">
        <f>K12*Input!$M$25</f>
        <v>2415.5464364083896</v>
      </c>
      <c r="L49" s="41">
        <f>L12*Input!$M$25</f>
        <v>2557.220000960127</v>
      </c>
      <c r="M49" s="41">
        <f>M12*Input!$M$25</f>
        <v>2479.5123852212882</v>
      </c>
      <c r="N49" s="41">
        <f>N12*Input!$M$25</f>
        <v>2239.6269074632291</v>
      </c>
      <c r="O49" s="198">
        <f t="shared" si="7"/>
        <v>31000</v>
      </c>
      <c r="P49" s="194">
        <f t="shared" si="10"/>
        <v>0.02</v>
      </c>
      <c r="Q49" s="41"/>
      <c r="R49" s="41"/>
      <c r="S49" s="222"/>
      <c r="T49" s="41"/>
      <c r="U49" s="205"/>
    </row>
    <row r="50" spans="1:21" ht="15.5">
      <c r="A50" s="9" t="str">
        <f>Input!J26</f>
        <v>CELL PHONE</v>
      </c>
      <c r="B50" s="2"/>
      <c r="C50" s="41">
        <f>Input!$M$26</f>
        <v>108</v>
      </c>
      <c r="D50" s="41">
        <f>Input!$M$26</f>
        <v>108</v>
      </c>
      <c r="E50" s="41">
        <f>Input!$M$26</f>
        <v>108</v>
      </c>
      <c r="F50" s="41">
        <f>Input!$M$26</f>
        <v>108</v>
      </c>
      <c r="G50" s="41">
        <f>Input!$M$26</f>
        <v>108</v>
      </c>
      <c r="H50" s="41">
        <f>Input!$M$26</f>
        <v>108</v>
      </c>
      <c r="I50" s="41">
        <f>Input!$M$26</f>
        <v>108</v>
      </c>
      <c r="J50" s="41">
        <f>Input!$M$26</f>
        <v>108</v>
      </c>
      <c r="K50" s="41">
        <f>Input!$M$26</f>
        <v>108</v>
      </c>
      <c r="L50" s="41">
        <f>Input!$M$26</f>
        <v>108</v>
      </c>
      <c r="M50" s="41">
        <f>Input!$M$26</f>
        <v>108</v>
      </c>
      <c r="N50" s="41">
        <f>Input!$M$26</f>
        <v>108</v>
      </c>
      <c r="O50" s="198">
        <f t="shared" si="7"/>
        <v>1296</v>
      </c>
      <c r="P50" s="194">
        <f t="shared" si="10"/>
        <v>8.3612903225806451E-4</v>
      </c>
      <c r="Q50" s="41"/>
      <c r="R50" s="41"/>
      <c r="S50" s="222"/>
      <c r="T50" s="41"/>
      <c r="U50" s="205"/>
    </row>
    <row r="51" spans="1:21" ht="15.5">
      <c r="A51" s="9" t="str">
        <f>Input!J27</f>
        <v>TELEPHONE/INTERNET</v>
      </c>
      <c r="B51" s="2"/>
      <c r="C51" s="41">
        <f>Input!$M$27</f>
        <v>339</v>
      </c>
      <c r="D51" s="41">
        <f>Input!$M$27</f>
        <v>339</v>
      </c>
      <c r="E51" s="41">
        <f>Input!$M$27</f>
        <v>339</v>
      </c>
      <c r="F51" s="41">
        <f>Input!$M$27</f>
        <v>339</v>
      </c>
      <c r="G51" s="41">
        <f>Input!$M$27</f>
        <v>339</v>
      </c>
      <c r="H51" s="41">
        <f>Input!$M$27</f>
        <v>339</v>
      </c>
      <c r="I51" s="41">
        <f>Input!$M$27</f>
        <v>339</v>
      </c>
      <c r="J51" s="41">
        <f>Input!$M$27</f>
        <v>339</v>
      </c>
      <c r="K51" s="41">
        <f>Input!$M$27</f>
        <v>339</v>
      </c>
      <c r="L51" s="41">
        <f>Input!$M$27</f>
        <v>339</v>
      </c>
      <c r="M51" s="41">
        <f>Input!$M$27</f>
        <v>339</v>
      </c>
      <c r="N51" s="41">
        <f>Input!$M$27</f>
        <v>339</v>
      </c>
      <c r="O51" s="198">
        <f t="shared" si="7"/>
        <v>4068</v>
      </c>
      <c r="P51" s="194">
        <f t="shared" si="10"/>
        <v>2.6245161290322579E-3</v>
      </c>
      <c r="Q51" s="41"/>
      <c r="R51" s="41"/>
      <c r="S51" s="41"/>
      <c r="T51" s="41"/>
      <c r="U51" s="205"/>
    </row>
    <row r="52" spans="1:21" ht="15.5">
      <c r="A52" s="9" t="str">
        <f>Input!J28</f>
        <v>UTILITIES</v>
      </c>
      <c r="B52" s="2"/>
      <c r="C52" s="41">
        <f>Input!$M$28</f>
        <v>812</v>
      </c>
      <c r="D52" s="41">
        <f>Input!$M$28</f>
        <v>812</v>
      </c>
      <c r="E52" s="41">
        <f>Input!$M$28</f>
        <v>812</v>
      </c>
      <c r="F52" s="41">
        <f>Input!$M$28</f>
        <v>812</v>
      </c>
      <c r="G52" s="41">
        <f>Input!$M$28</f>
        <v>812</v>
      </c>
      <c r="H52" s="41">
        <f>Input!$M$28</f>
        <v>812</v>
      </c>
      <c r="I52" s="41">
        <f>Input!$M$28</f>
        <v>812</v>
      </c>
      <c r="J52" s="41">
        <f>Input!$M$28</f>
        <v>812</v>
      </c>
      <c r="K52" s="41">
        <f>Input!$M$28</f>
        <v>812</v>
      </c>
      <c r="L52" s="41">
        <f>Input!$M$28</f>
        <v>812</v>
      </c>
      <c r="M52" s="41">
        <f>Input!$M$28</f>
        <v>812</v>
      </c>
      <c r="N52" s="41">
        <f>Input!$M$28</f>
        <v>812</v>
      </c>
      <c r="O52" s="198">
        <f t="shared" si="7"/>
        <v>9744</v>
      </c>
      <c r="P52" s="194">
        <f t="shared" si="10"/>
        <v>6.2864516129032258E-3</v>
      </c>
      <c r="Q52" s="41"/>
      <c r="R52" s="41"/>
      <c r="S52" s="41"/>
      <c r="T52" s="41"/>
      <c r="U52" s="205"/>
    </row>
    <row r="53" spans="1:21" ht="15.5">
      <c r="A53" s="9" t="str">
        <f>Input!Q6</f>
        <v>INSURANCE-BUSINESS</v>
      </c>
      <c r="B53" s="2"/>
      <c r="C53" s="41">
        <f>Input!$T$6</f>
        <v>741</v>
      </c>
      <c r="D53" s="41">
        <f>Input!$T$6</f>
        <v>741</v>
      </c>
      <c r="E53" s="41">
        <f>Input!$T$6</f>
        <v>741</v>
      </c>
      <c r="F53" s="41">
        <f>Input!$T$6</f>
        <v>741</v>
      </c>
      <c r="G53" s="41">
        <f>Input!$T$6</f>
        <v>741</v>
      </c>
      <c r="H53" s="41">
        <f>Input!$T$6</f>
        <v>741</v>
      </c>
      <c r="I53" s="41">
        <f>Input!$T$6</f>
        <v>741</v>
      </c>
      <c r="J53" s="41">
        <f>Input!$T$6</f>
        <v>741</v>
      </c>
      <c r="K53" s="41">
        <f>Input!$T$6</f>
        <v>741</v>
      </c>
      <c r="L53" s="41">
        <f>Input!$T$6</f>
        <v>741</v>
      </c>
      <c r="M53" s="41">
        <f>Input!$T$6</f>
        <v>741</v>
      </c>
      <c r="N53" s="41">
        <f>Input!$T$6</f>
        <v>741</v>
      </c>
      <c r="O53" s="198">
        <f t="shared" si="7"/>
        <v>8892</v>
      </c>
      <c r="P53" s="194">
        <f t="shared" si="10"/>
        <v>5.7367741935483874E-3</v>
      </c>
      <c r="Q53" s="41"/>
      <c r="R53" s="41"/>
      <c r="S53" s="41"/>
      <c r="T53" s="41"/>
      <c r="U53" s="205"/>
    </row>
    <row r="54" spans="1:21" ht="15.5">
      <c r="A54" s="9" t="str">
        <f>Input!Q7</f>
        <v>EMPLOY. HEALTH INS.</v>
      </c>
      <c r="C54" s="41">
        <f>Input!$T$7</f>
        <v>527</v>
      </c>
      <c r="D54" s="41">
        <f>Input!$T$7</f>
        <v>527</v>
      </c>
      <c r="E54" s="41">
        <f>Input!$T$7</f>
        <v>527</v>
      </c>
      <c r="F54" s="41">
        <f>Input!$T$7</f>
        <v>527</v>
      </c>
      <c r="G54" s="41">
        <f>Input!$T$7</f>
        <v>527</v>
      </c>
      <c r="H54" s="41">
        <f>Input!$T$7</f>
        <v>527</v>
      </c>
      <c r="I54" s="41">
        <f>Input!$T$7</f>
        <v>527</v>
      </c>
      <c r="J54" s="41">
        <f>Input!$T$7</f>
        <v>527</v>
      </c>
      <c r="K54" s="41">
        <f>Input!$T$7</f>
        <v>527</v>
      </c>
      <c r="L54" s="41">
        <f>Input!$T$7</f>
        <v>527</v>
      </c>
      <c r="M54" s="41">
        <f>Input!$T$7</f>
        <v>527</v>
      </c>
      <c r="N54" s="41">
        <f>Input!$T$7</f>
        <v>527</v>
      </c>
      <c r="O54" s="198">
        <f t="shared" si="7"/>
        <v>6324</v>
      </c>
      <c r="P54" s="194">
        <f t="shared" si="10"/>
        <v>4.0800000000000003E-3</v>
      </c>
      <c r="Q54" s="41"/>
      <c r="R54" s="42"/>
      <c r="S54" s="42"/>
      <c r="T54" s="42"/>
      <c r="U54" s="205"/>
    </row>
    <row r="55" spans="1:21" ht="15.5">
      <c r="A55" s="9" t="str">
        <f>Input!Q9</f>
        <v>OUTSIDE SERVICES</v>
      </c>
      <c r="C55" s="41">
        <f>Input!$T$9</f>
        <v>0</v>
      </c>
      <c r="D55" s="41">
        <f>Input!$T$9</f>
        <v>0</v>
      </c>
      <c r="E55" s="41">
        <f>Input!$T$9</f>
        <v>0</v>
      </c>
      <c r="F55" s="41">
        <f>Input!$T$9</f>
        <v>0</v>
      </c>
      <c r="G55" s="41">
        <f>Input!$T$9</f>
        <v>0</v>
      </c>
      <c r="H55" s="41">
        <f>Input!$T$9</f>
        <v>0</v>
      </c>
      <c r="I55" s="41">
        <f>Input!$T$9</f>
        <v>0</v>
      </c>
      <c r="J55" s="41">
        <f>Input!$T$9</f>
        <v>0</v>
      </c>
      <c r="K55" s="41">
        <f>Input!$T$9</f>
        <v>0</v>
      </c>
      <c r="L55" s="41">
        <f>Input!$T$9</f>
        <v>0</v>
      </c>
      <c r="M55" s="41">
        <f>Input!$T$9</f>
        <v>0</v>
      </c>
      <c r="N55" s="41">
        <f>Input!$T$9</f>
        <v>0</v>
      </c>
      <c r="O55" s="198">
        <f t="shared" si="7"/>
        <v>0</v>
      </c>
      <c r="P55" s="194">
        <f t="shared" si="10"/>
        <v>0</v>
      </c>
      <c r="Q55" s="41"/>
      <c r="R55" s="42"/>
      <c r="S55" s="41"/>
      <c r="T55" s="41"/>
      <c r="U55" s="205"/>
    </row>
    <row r="56" spans="1:21" ht="15.5">
      <c r="A56" s="9" t="str">
        <f>Input!Q10</f>
        <v>STORE OPERATING EXPENSE</v>
      </c>
      <c r="C56" s="41">
        <f>Input!$T$10</f>
        <v>925</v>
      </c>
      <c r="D56" s="41">
        <f>Input!$T$10</f>
        <v>925</v>
      </c>
      <c r="E56" s="41">
        <f>Input!$T$10</f>
        <v>925</v>
      </c>
      <c r="F56" s="41">
        <f>Input!$T$10</f>
        <v>925</v>
      </c>
      <c r="G56" s="41">
        <f>Input!$T$10</f>
        <v>925</v>
      </c>
      <c r="H56" s="41">
        <f>Input!$T$10</f>
        <v>925</v>
      </c>
      <c r="I56" s="41">
        <f>Input!$T$10</f>
        <v>925</v>
      </c>
      <c r="J56" s="41">
        <f>Input!$T$10</f>
        <v>925</v>
      </c>
      <c r="K56" s="41">
        <f>Input!$T$10</f>
        <v>925</v>
      </c>
      <c r="L56" s="41">
        <f>Input!$T$10</f>
        <v>925</v>
      </c>
      <c r="M56" s="41">
        <f>Input!$T$10</f>
        <v>925</v>
      </c>
      <c r="N56" s="41">
        <f>Input!$T$10</f>
        <v>925</v>
      </c>
      <c r="O56" s="198">
        <f t="shared" si="7"/>
        <v>11100</v>
      </c>
      <c r="P56" s="194">
        <f t="shared" si="10"/>
        <v>7.1612903225806452E-3</v>
      </c>
      <c r="Q56" s="41"/>
      <c r="R56" s="41"/>
      <c r="S56" s="41"/>
      <c r="T56" s="41"/>
      <c r="U56" s="205"/>
    </row>
    <row r="57" spans="1:21" ht="15.5">
      <c r="A57" s="9" t="str">
        <f>Input!Q11</f>
        <v>MISC EXPENSE</v>
      </c>
      <c r="B57" s="2"/>
      <c r="C57" s="41">
        <f>Input!$T$11</f>
        <v>0</v>
      </c>
      <c r="D57" s="41">
        <f>Input!$T$11</f>
        <v>0</v>
      </c>
      <c r="E57" s="41">
        <f>Input!$T$11</f>
        <v>0</v>
      </c>
      <c r="F57" s="41">
        <f>Input!$T$11</f>
        <v>0</v>
      </c>
      <c r="G57" s="215">
        <f>Input!$T$11</f>
        <v>0</v>
      </c>
      <c r="H57" s="215">
        <f>Input!$T$11</f>
        <v>0</v>
      </c>
      <c r="I57" s="215">
        <f>Input!$T$11</f>
        <v>0</v>
      </c>
      <c r="J57" s="215">
        <f>Input!$T$11</f>
        <v>0</v>
      </c>
      <c r="K57" s="215">
        <f>Input!$T$11</f>
        <v>0</v>
      </c>
      <c r="L57" s="215">
        <f>Input!$T$11</f>
        <v>0</v>
      </c>
      <c r="M57" s="215">
        <f>Input!$T$11</f>
        <v>0</v>
      </c>
      <c r="N57" s="215">
        <f>Input!$T$11</f>
        <v>0</v>
      </c>
      <c r="O57" s="213">
        <f t="shared" si="7"/>
        <v>0</v>
      </c>
      <c r="P57" s="194">
        <f t="shared" si="10"/>
        <v>0</v>
      </c>
      <c r="Q57" s="41"/>
      <c r="R57" s="41"/>
      <c r="S57" s="41"/>
      <c r="T57" s="41"/>
      <c r="U57" s="205"/>
    </row>
    <row r="58" spans="1:21" ht="15.5">
      <c r="A58" s="107"/>
      <c r="B58" s="2"/>
      <c r="C58" s="214"/>
      <c r="D58" s="214"/>
      <c r="E58" s="214"/>
      <c r="F58" s="214"/>
      <c r="G58" s="41"/>
      <c r="H58" s="41"/>
      <c r="I58" s="41"/>
      <c r="J58" s="41"/>
      <c r="K58" s="41"/>
      <c r="L58" s="41"/>
      <c r="M58" s="41"/>
      <c r="N58" s="41"/>
      <c r="O58" s="204"/>
      <c r="P58" s="42"/>
      <c r="Q58" s="41"/>
      <c r="R58" s="41"/>
      <c r="S58" s="41"/>
      <c r="T58" s="41"/>
      <c r="U58" s="205"/>
    </row>
    <row r="59" spans="1:21" ht="15.5">
      <c r="A59" s="31" t="s">
        <v>164</v>
      </c>
      <c r="B59" s="2"/>
      <c r="C59" s="215">
        <f>SUM(C36:C57)</f>
        <v>37079.499634971966</v>
      </c>
      <c r="D59" s="215">
        <f>SUM(D36:D57)</f>
        <v>39732.585257423656</v>
      </c>
      <c r="E59" s="215">
        <f>SUM(E36:E57)</f>
        <v>42659.704941882024</v>
      </c>
      <c r="F59" s="215">
        <f>SUM(F36:F57)</f>
        <v>41215.722661488209</v>
      </c>
      <c r="G59" s="215">
        <f t="shared" ref="G59:N59" si="11">SUM(G36:G57)</f>
        <v>43786.310967905243</v>
      </c>
      <c r="H59" s="215">
        <f t="shared" si="11"/>
        <v>42252.133750910238</v>
      </c>
      <c r="I59" s="215">
        <f t="shared" si="11"/>
        <v>42065.738763571702</v>
      </c>
      <c r="J59" s="215">
        <f t="shared" si="11"/>
        <v>50991.893209015521</v>
      </c>
      <c r="K59" s="215">
        <f t="shared" si="11"/>
        <v>40923.165227552439</v>
      </c>
      <c r="L59" s="215">
        <f t="shared" si="11"/>
        <v>41808.625006000795</v>
      </c>
      <c r="M59" s="215">
        <f t="shared" si="11"/>
        <v>41322.952407633049</v>
      </c>
      <c r="N59" s="215">
        <f t="shared" si="11"/>
        <v>39823.668171645186</v>
      </c>
      <c r="O59" s="213">
        <f t="shared" si="7"/>
        <v>503662.00000000012</v>
      </c>
      <c r="P59" s="194">
        <f>O59/$O$12</f>
        <v>0.32494322580645169</v>
      </c>
      <c r="Q59" s="41"/>
      <c r="R59" s="41"/>
      <c r="S59" s="41"/>
      <c r="T59" s="41"/>
      <c r="U59" s="205"/>
    </row>
    <row r="60" spans="1:21" ht="15.5">
      <c r="A60" s="107"/>
      <c r="B60" s="2"/>
      <c r="C60" s="41"/>
      <c r="D60" s="41"/>
      <c r="E60" s="41"/>
      <c r="F60" s="41"/>
      <c r="G60" s="41"/>
      <c r="H60" s="41"/>
      <c r="I60" s="41"/>
      <c r="J60" s="42"/>
      <c r="K60" s="42"/>
      <c r="L60" s="42"/>
      <c r="M60" s="42"/>
      <c r="N60" s="42"/>
      <c r="O60" s="204"/>
      <c r="P60" s="42"/>
      <c r="Q60" s="42"/>
      <c r="R60" s="42"/>
      <c r="S60" s="42"/>
      <c r="T60" s="42"/>
      <c r="U60" s="205"/>
    </row>
    <row r="61" spans="1:21" ht="15.5">
      <c r="A61" s="31" t="s">
        <v>165</v>
      </c>
      <c r="B61" s="2"/>
      <c r="C61" s="42">
        <f t="shared" ref="C61:N61" si="12">C24-C59</f>
        <v>17059.688343508213</v>
      </c>
      <c r="D61" s="42">
        <f t="shared" si="12"/>
        <v>31735.590979433146</v>
      </c>
      <c r="E61" s="42">
        <f t="shared" si="12"/>
        <v>45115.224271110521</v>
      </c>
      <c r="F61" s="42">
        <f t="shared" si="12"/>
        <v>35639.227863811175</v>
      </c>
      <c r="G61" s="42">
        <f t="shared" si="12"/>
        <v>51003.713811333117</v>
      </c>
      <c r="H61" s="42">
        <f t="shared" si="12"/>
        <v>40063.466512082749</v>
      </c>
      <c r="I61" s="42">
        <f t="shared" si="12"/>
        <v>43883.831300349397</v>
      </c>
      <c r="J61" s="42">
        <f t="shared" si="12"/>
        <v>79652.324763331417</v>
      </c>
      <c r="K61" s="42">
        <f t="shared" si="12"/>
        <v>36089.231556386134</v>
      </c>
      <c r="L61" s="42">
        <f t="shared" si="12"/>
        <v>41082.291005644212</v>
      </c>
      <c r="M61" s="42">
        <f t="shared" si="12"/>
        <v>39361.602445318065</v>
      </c>
      <c r="N61" s="42">
        <f t="shared" si="12"/>
        <v>32491.910469137933</v>
      </c>
      <c r="O61" s="198">
        <f t="shared" si="7"/>
        <v>493178.10332144611</v>
      </c>
      <c r="P61" s="194">
        <f>O61/$O$12</f>
        <v>0.31817942149770717</v>
      </c>
      <c r="Q61" s="42"/>
      <c r="R61" s="42"/>
      <c r="S61" s="225"/>
      <c r="T61" s="226"/>
      <c r="U61" s="175"/>
    </row>
    <row r="62" spans="1:21" ht="15.5">
      <c r="A62" s="9" t="s">
        <v>166</v>
      </c>
      <c r="B62" s="2"/>
      <c r="C62" s="41">
        <f>IF(C104&gt;0,(C104*Input!$C$39)/12,0)</f>
        <v>0</v>
      </c>
      <c r="D62" s="41">
        <f>IF(D104&gt;0,(D104*Input!$C$39)/12,0)</f>
        <v>0</v>
      </c>
      <c r="E62" s="41">
        <f>IF(E104&gt;0,(E104*Input!$C$39)/12,0)</f>
        <v>0</v>
      </c>
      <c r="F62" s="41">
        <f>IF(F104&gt;0,(F104*Input!$C$39)/12,0)</f>
        <v>0</v>
      </c>
      <c r="G62" s="41">
        <f>IF(G104&gt;0,(G104*Input!$C$39)/12,0)</f>
        <v>0</v>
      </c>
      <c r="H62" s="41">
        <f>IF(H104&gt;0,(H104*Input!$C$39)/12,0)</f>
        <v>0</v>
      </c>
      <c r="I62" s="41">
        <f>IF(I104&gt;0,(I104*Input!$C$39)/12,0)</f>
        <v>0</v>
      </c>
      <c r="J62" s="41">
        <f>IF(J104&gt;0,(J104*Input!$C$39)/12,0)</f>
        <v>0</v>
      </c>
      <c r="K62" s="41">
        <f>IF(K104&gt;0,(K104*Input!$C$39)/12,0)</f>
        <v>0</v>
      </c>
      <c r="L62" s="41">
        <f>IF(L104&gt;0,(L104*Input!$C$39)/12,0)</f>
        <v>0</v>
      </c>
      <c r="M62" s="41">
        <f>IF(M104&gt;0,(M104*Input!$C$39)/12,0)</f>
        <v>0</v>
      </c>
      <c r="N62" s="41">
        <f>IF(N104&gt;0,(N104*Input!$C$39)/12,0)</f>
        <v>0</v>
      </c>
      <c r="O62" s="198">
        <f t="shared" si="7"/>
        <v>0</v>
      </c>
      <c r="P62" s="194">
        <f>O62/$O$12</f>
        <v>0</v>
      </c>
      <c r="Q62" s="41"/>
    </row>
    <row r="63" spans="1:21" ht="15.5">
      <c r="A63" s="224" t="s">
        <v>167</v>
      </c>
      <c r="B63" s="2"/>
      <c r="C63" s="41">
        <f>IF(C113&gt;0,IF(Input!$C$46&gt;0,C113*(Input!$C$46/12),C113*($B$112/12)),0)</f>
        <v>0</v>
      </c>
      <c r="D63" s="41">
        <f>IF(D113&gt;0,IF(Input!$C$46&gt;0,D113*(Input!$C$46/12),D113*($B$112/12)),0)</f>
        <v>0</v>
      </c>
      <c r="E63" s="41">
        <f>IF(E113&gt;0,IF(Input!$C$46&gt;0,E113*(Input!$C$46/12),E113*($B$112/12)),0)</f>
        <v>0</v>
      </c>
      <c r="F63" s="41">
        <f>IF(F113&gt;0,IF(Input!$C$46&gt;0,F113*(Input!$C$46/12),F113*($B$112/12)),0)</f>
        <v>0</v>
      </c>
      <c r="G63" s="41">
        <f>IF(G113&gt;0,IF(Input!$C$46&gt;0,G113*(Input!$C$46/12),G113*($B$112/12)),0)</f>
        <v>0</v>
      </c>
      <c r="H63" s="41">
        <f>IF(H113&gt;0,IF(Input!$C$46&gt;0,H113*(Input!$C$46/12),H113*($B$112/12)),0)</f>
        <v>0</v>
      </c>
      <c r="I63" s="41">
        <f>IF(I113&gt;0,IF(Input!$C$46&gt;0,I113*(Input!$C$46/12),I113*($B$112/12)),0)</f>
        <v>0</v>
      </c>
      <c r="J63" s="41">
        <f>IF(J113&gt;0,IF(Input!$C$46&gt;0,J113*(Input!$C$46/12),J113*($B$112/12)),0)</f>
        <v>0</v>
      </c>
      <c r="K63" s="41">
        <f>IF(K113&gt;0,IF(Input!$C$46&gt;0,K113*(Input!$C$46/12),K113*($B$112/12)),0)</f>
        <v>0</v>
      </c>
      <c r="L63" s="41">
        <f>IF(L113&gt;0,IF(Input!$C$46&gt;0,L113*(Input!$C$46/12),L113*($B$112/12)),0)</f>
        <v>0</v>
      </c>
      <c r="M63" s="41">
        <f>IF(M113&gt;0,IF(Input!$C$46&gt;0,M113*(Input!$C$46/12),M113*($B$112/12)),0)</f>
        <v>0</v>
      </c>
      <c r="N63" s="41">
        <f>IF(N113&gt;0,IF(Input!$C$46&gt;0,N113*(Input!$C$46/12),N113*($B$112/12)),0)</f>
        <v>0</v>
      </c>
      <c r="O63" s="198">
        <f t="shared" si="7"/>
        <v>0</v>
      </c>
      <c r="P63" s="194">
        <f>O63/$O$12</f>
        <v>0</v>
      </c>
      <c r="Q63" s="41"/>
    </row>
    <row r="64" spans="1:21" ht="15.5">
      <c r="A64" s="224" t="s">
        <v>168</v>
      </c>
      <c r="B64" s="2"/>
      <c r="C64" s="41">
        <f>IF(C118&gt;0,(C118*Input!$G$41)/12,0)</f>
        <v>0</v>
      </c>
      <c r="D64" s="41">
        <f>IF(D118&gt;0,(D118*Input!$G$41)/12,0)</f>
        <v>0</v>
      </c>
      <c r="E64" s="41">
        <f>IF(E118&gt;0,(E118*Input!$G$41)/12,0)</f>
        <v>0</v>
      </c>
      <c r="F64" s="41">
        <f>IF(F118&gt;0,(F118*Input!$G$41)/12,0)</f>
        <v>0</v>
      </c>
      <c r="G64" s="41">
        <f>IF(G118&gt;0,(G118*Input!$G$41)/12,0)</f>
        <v>0</v>
      </c>
      <c r="H64" s="41">
        <f>IF(H118&gt;0,(H118*Input!$G$41)/12,0)</f>
        <v>0</v>
      </c>
      <c r="I64" s="41">
        <f>IF(I118&gt;0,(I118*Input!$G$41)/12,0)</f>
        <v>0</v>
      </c>
      <c r="J64" s="41">
        <f>IF(J118&gt;0,(J118*Input!$G$41)/12,0)</f>
        <v>0</v>
      </c>
      <c r="K64" s="41">
        <f>IF(K118&gt;0,(K118*Input!$G$41)/12,0)</f>
        <v>0</v>
      </c>
      <c r="L64" s="41">
        <f>IF(L118&gt;0,(L118*Input!$G$41)/12,0)</f>
        <v>0</v>
      </c>
      <c r="M64" s="41">
        <f>IF(M118&gt;0,(M118*Input!$G$41)/12,0)</f>
        <v>0</v>
      </c>
      <c r="N64" s="41">
        <f>IF(N118&gt;0,(N118*Input!$G$41)/12,0)</f>
        <v>0</v>
      </c>
      <c r="O64" s="198">
        <f t="shared" si="7"/>
        <v>0</v>
      </c>
      <c r="P64" s="194">
        <f>O64/$O$12</f>
        <v>0</v>
      </c>
      <c r="Q64" s="41"/>
    </row>
    <row r="65" spans="1:83" ht="15.5">
      <c r="A65" s="9" t="s">
        <v>169</v>
      </c>
      <c r="B65" s="2"/>
      <c r="C65" s="41">
        <f>IF(C108&gt;0,(C108*Input!$C$53)/12,0)</f>
        <v>0</v>
      </c>
      <c r="D65" s="41">
        <f>IF(D108&gt;0,(D108*Input!$C$53)/12,0)</f>
        <v>0</v>
      </c>
      <c r="E65" s="41">
        <f>IF(E108&gt;0,(E108*Input!$C$53)/12,0)</f>
        <v>0</v>
      </c>
      <c r="F65" s="41">
        <f>IF(F108&gt;0,(F108*Input!$C$53)/12,0)</f>
        <v>0</v>
      </c>
      <c r="G65" s="41">
        <f>IF(G108&gt;0,(G108*Input!$C$53)/12,0)</f>
        <v>0</v>
      </c>
      <c r="H65" s="215">
        <f>IF(H108&gt;0,(H108*Input!$C$53)/12,0)</f>
        <v>0</v>
      </c>
      <c r="I65" s="215">
        <f>IF(I108&gt;0,(I108*Input!$C$53)/12,0)</f>
        <v>0</v>
      </c>
      <c r="J65" s="215">
        <f>IF(J108&gt;0,(J108*Input!$C$53)/12,0)</f>
        <v>0</v>
      </c>
      <c r="K65" s="215">
        <f>IF(K108&gt;0,(K108*Input!$C$53)/12,0)</f>
        <v>0</v>
      </c>
      <c r="L65" s="215">
        <f>IF(L108&gt;0,(L108*Input!$C$53)/12,0)</f>
        <v>0</v>
      </c>
      <c r="M65" s="215">
        <f>IF(M108&gt;0,(M108*Input!$C$53)/12,0)</f>
        <v>0</v>
      </c>
      <c r="N65" s="215">
        <f>IF(N108&gt;0,(N108*Input!$C$53)/12,0)</f>
        <v>0</v>
      </c>
      <c r="O65" s="213">
        <f>SUM(C65:N65)</f>
        <v>0</v>
      </c>
      <c r="P65" s="194">
        <f>O65/$O$12</f>
        <v>0</v>
      </c>
      <c r="Q65" s="41"/>
    </row>
    <row r="66" spans="1:83" ht="15.5">
      <c r="A66" s="31" t="s">
        <v>147</v>
      </c>
      <c r="B66" s="2"/>
      <c r="C66" s="214"/>
      <c r="D66" s="214"/>
      <c r="E66" s="214"/>
      <c r="F66" s="214"/>
      <c r="G66" s="214"/>
      <c r="H66" s="225"/>
      <c r="I66" s="225"/>
      <c r="J66" s="42"/>
      <c r="K66" s="42"/>
      <c r="L66" s="42"/>
      <c r="M66" s="42"/>
      <c r="N66" s="42"/>
      <c r="O66" s="204"/>
      <c r="P66" s="42"/>
      <c r="Q66" s="42"/>
      <c r="R66" s="326"/>
    </row>
    <row r="67" spans="1:83" ht="16" thickBot="1">
      <c r="A67" s="357" t="s">
        <v>170</v>
      </c>
      <c r="B67" s="354"/>
      <c r="C67" s="358">
        <f>C61-SUM(C62:C65)</f>
        <v>17059.688343508213</v>
      </c>
      <c r="D67" s="358">
        <f t="shared" ref="D67:N67" si="13">D61-SUM(D62:D65)</f>
        <v>31735.590979433146</v>
      </c>
      <c r="E67" s="358">
        <f t="shared" si="13"/>
        <v>45115.224271110521</v>
      </c>
      <c r="F67" s="358">
        <f t="shared" si="13"/>
        <v>35639.227863811175</v>
      </c>
      <c r="G67" s="358">
        <f t="shared" si="13"/>
        <v>51003.713811333117</v>
      </c>
      <c r="H67" s="358">
        <f t="shared" si="13"/>
        <v>40063.466512082749</v>
      </c>
      <c r="I67" s="358">
        <f t="shared" si="13"/>
        <v>43883.831300349397</v>
      </c>
      <c r="J67" s="358">
        <f t="shared" si="13"/>
        <v>79652.324763331417</v>
      </c>
      <c r="K67" s="358">
        <f t="shared" si="13"/>
        <v>36089.231556386134</v>
      </c>
      <c r="L67" s="358">
        <f t="shared" si="13"/>
        <v>41082.291005644212</v>
      </c>
      <c r="M67" s="358">
        <f t="shared" si="13"/>
        <v>39361.602445318065</v>
      </c>
      <c r="N67" s="358">
        <f t="shared" si="13"/>
        <v>32491.910469137933</v>
      </c>
      <c r="O67" s="359">
        <f>SUM(C67:N67)</f>
        <v>493178.10332144611</v>
      </c>
      <c r="P67" s="194">
        <f>O67/$O$12</f>
        <v>0.31817942149770717</v>
      </c>
      <c r="Q67" s="42"/>
      <c r="R67" s="326"/>
    </row>
    <row r="68" spans="1:83" ht="13.5" thickTop="1">
      <c r="O68" s="15"/>
      <c r="R68" s="2"/>
    </row>
    <row r="69" spans="1:83" s="114" customFormat="1">
      <c r="O69" s="227"/>
      <c r="Q69" s="1"/>
      <c r="R69" s="2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spans="1:83" ht="15.5">
      <c r="A70" s="228" t="s">
        <v>171</v>
      </c>
      <c r="C70" s="294">
        <f t="shared" ref="C70:N70" si="14">C6</f>
        <v>44561</v>
      </c>
      <c r="D70" s="294">
        <f t="shared" si="14"/>
        <v>44592</v>
      </c>
      <c r="E70" s="294">
        <f t="shared" si="14"/>
        <v>44620</v>
      </c>
      <c r="F70" s="294">
        <f t="shared" si="14"/>
        <v>44651</v>
      </c>
      <c r="G70" s="294">
        <f t="shared" si="14"/>
        <v>44681</v>
      </c>
      <c r="H70" s="294">
        <f t="shared" si="14"/>
        <v>44712</v>
      </c>
      <c r="I70" s="294">
        <f t="shared" si="14"/>
        <v>44742</v>
      </c>
      <c r="J70" s="294">
        <f t="shared" si="14"/>
        <v>44773</v>
      </c>
      <c r="K70" s="294">
        <f t="shared" si="14"/>
        <v>44804</v>
      </c>
      <c r="L70" s="294">
        <f t="shared" si="14"/>
        <v>44834</v>
      </c>
      <c r="M70" s="294">
        <f t="shared" si="14"/>
        <v>44865</v>
      </c>
      <c r="N70" s="294">
        <f t="shared" si="14"/>
        <v>44895</v>
      </c>
      <c r="O70" s="229" t="s">
        <v>172</v>
      </c>
      <c r="R70" s="2"/>
    </row>
    <row r="71" spans="1:83" ht="14.5">
      <c r="A71" s="107"/>
      <c r="R71" s="2"/>
    </row>
    <row r="72" spans="1:83" ht="14.5">
      <c r="A72" s="221" t="s">
        <v>173</v>
      </c>
      <c r="C72" s="107">
        <f>Input!E33</f>
        <v>42000</v>
      </c>
      <c r="D72" s="230">
        <f>C97</f>
        <v>47958.203952921773</v>
      </c>
      <c r="E72" s="230">
        <f t="shared" ref="E72:N72" si="15">D97</f>
        <v>83218.297466609598</v>
      </c>
      <c r="F72" s="230">
        <f t="shared" si="15"/>
        <v>134464.02217285024</v>
      </c>
      <c r="G72" s="230">
        <f t="shared" si="15"/>
        <v>168853.35785322846</v>
      </c>
      <c r="H72" s="230">
        <f t="shared" si="15"/>
        <v>212105.76060911233</v>
      </c>
      <c r="I72" s="230">
        <f t="shared" si="15"/>
        <v>258490.72261080984</v>
      </c>
      <c r="J72" s="230">
        <f t="shared" si="15"/>
        <v>297277.01513513533</v>
      </c>
      <c r="K72" s="230">
        <f t="shared" si="15"/>
        <v>384508.42397488374</v>
      </c>
      <c r="L72" s="230">
        <f t="shared" si="15"/>
        <v>428028.65070119908</v>
      </c>
      <c r="M72" s="230">
        <f t="shared" si="15"/>
        <v>474596.90743839619</v>
      </c>
      <c r="N72" s="230">
        <f t="shared" si="15"/>
        <v>516412.64075239963</v>
      </c>
      <c r="O72" s="231">
        <f>C72</f>
        <v>42000</v>
      </c>
      <c r="P72" s="558"/>
      <c r="Q72" s="558"/>
      <c r="R72" s="2"/>
    </row>
    <row r="73" spans="1:83" ht="14.5">
      <c r="A73" s="221"/>
      <c r="C73" s="107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2"/>
      <c r="P73" s="233"/>
      <c r="Q73" s="234"/>
      <c r="R73" s="2"/>
    </row>
    <row r="74" spans="1:83" ht="14.5">
      <c r="A74" s="31" t="s">
        <v>170</v>
      </c>
      <c r="C74" s="107">
        <f>C67</f>
        <v>17059.688343508213</v>
      </c>
      <c r="D74" s="107">
        <f t="shared" ref="D74:N74" si="16">D67</f>
        <v>31735.590979433146</v>
      </c>
      <c r="E74" s="107">
        <f t="shared" si="16"/>
        <v>45115.224271110521</v>
      </c>
      <c r="F74" s="107">
        <f t="shared" si="16"/>
        <v>35639.227863811175</v>
      </c>
      <c r="G74" s="107">
        <f t="shared" si="16"/>
        <v>51003.713811333117</v>
      </c>
      <c r="H74" s="107">
        <f t="shared" si="16"/>
        <v>40063.466512082749</v>
      </c>
      <c r="I74" s="107">
        <f t="shared" si="16"/>
        <v>43883.831300349397</v>
      </c>
      <c r="J74" s="107">
        <f t="shared" si="16"/>
        <v>79652.324763331417</v>
      </c>
      <c r="K74" s="107">
        <f t="shared" si="16"/>
        <v>36089.231556386134</v>
      </c>
      <c r="L74" s="107">
        <f t="shared" si="16"/>
        <v>41082.291005644212</v>
      </c>
      <c r="M74" s="107">
        <f t="shared" si="16"/>
        <v>39361.602445318065</v>
      </c>
      <c r="N74" s="107">
        <f t="shared" si="16"/>
        <v>32491.910469137933</v>
      </c>
      <c r="O74" s="231">
        <f>SUM(C74:N74)</f>
        <v>493178.10332144611</v>
      </c>
      <c r="P74" s="235"/>
      <c r="Q74" s="236"/>
      <c r="R74" s="2"/>
    </row>
    <row r="75" spans="1:83" ht="14.5">
      <c r="A75" s="31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232"/>
      <c r="P75" s="237"/>
      <c r="Q75" s="234"/>
      <c r="R75" s="2"/>
    </row>
    <row r="76" spans="1:83" ht="14.5">
      <c r="A76" s="31" t="s">
        <v>174</v>
      </c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232"/>
      <c r="P76" s="235"/>
      <c r="Q76" s="107"/>
      <c r="R76" s="2"/>
    </row>
    <row r="77" spans="1:83" ht="14.5">
      <c r="A77" s="9" t="s">
        <v>175</v>
      </c>
      <c r="C77" s="107">
        <f t="shared" ref="C77:N77" si="17">C22</f>
        <v>35888.809101295563</v>
      </c>
      <c r="D77" s="107">
        <f t="shared" si="17"/>
        <v>39784.505822532446</v>
      </c>
      <c r="E77" s="107">
        <f t="shared" si="17"/>
        <v>46894.710322063656</v>
      </c>
      <c r="F77" s="107">
        <f t="shared" si="17"/>
        <v>46262.830766606246</v>
      </c>
      <c r="G77" s="107">
        <f t="shared" si="17"/>
        <v>48892.462964003549</v>
      </c>
      <c r="H77" s="107">
        <f t="shared" si="17"/>
        <v>49093.469744288945</v>
      </c>
      <c r="I77" s="107">
        <f t="shared" si="17"/>
        <v>43968.340044652512</v>
      </c>
      <c r="J77" s="107">
        <f t="shared" si="17"/>
        <v>70682.927699777181</v>
      </c>
      <c r="K77" s="107">
        <f t="shared" si="17"/>
        <v>43764.925036480905</v>
      </c>
      <c r="L77" s="107">
        <f t="shared" si="17"/>
        <v>44970.084036361339</v>
      </c>
      <c r="M77" s="107">
        <f t="shared" si="17"/>
        <v>43291.0644081133</v>
      </c>
      <c r="N77" s="107">
        <f t="shared" si="17"/>
        <v>39665.766732378332</v>
      </c>
      <c r="O77" s="231">
        <f>SUM(C77:N77)</f>
        <v>553159.89667855401</v>
      </c>
      <c r="P77" s="235"/>
      <c r="Q77" s="107"/>
    </row>
    <row r="78" spans="1:83" ht="14.5">
      <c r="A78" s="238" t="s">
        <v>176</v>
      </c>
      <c r="C78" s="107">
        <f>-C129</f>
        <v>-179.01278048067437</v>
      </c>
      <c r="D78" s="107">
        <f t="shared" ref="D78:N78" si="18">-D129</f>
        <v>-179.01278048067437</v>
      </c>
      <c r="E78" s="107">
        <f t="shared" si="18"/>
        <v>-2243.7368685885945</v>
      </c>
      <c r="F78" s="107">
        <f t="shared" si="18"/>
        <v>-182.15726809096154</v>
      </c>
      <c r="G78" s="107">
        <f t="shared" si="18"/>
        <v>-179.01278048067437</v>
      </c>
      <c r="H78" s="107">
        <f t="shared" si="18"/>
        <v>-179.01278048067437</v>
      </c>
      <c r="I78" s="107">
        <f t="shared" si="18"/>
        <v>-179.01278048067437</v>
      </c>
      <c r="J78" s="107">
        <f t="shared" si="18"/>
        <v>-179.01278048067437</v>
      </c>
      <c r="K78" s="107">
        <f t="shared" si="18"/>
        <v>-179.01278048067437</v>
      </c>
      <c r="L78" s="107">
        <f t="shared" si="18"/>
        <v>-179.01278048067437</v>
      </c>
      <c r="M78" s="107">
        <f t="shared" si="18"/>
        <v>-179.01278048067437</v>
      </c>
      <c r="N78" s="107">
        <f t="shared" si="18"/>
        <v>-179.01278048067437</v>
      </c>
      <c r="O78" s="231">
        <f>SUM(C78:N78)</f>
        <v>-4216.0219414862995</v>
      </c>
      <c r="P78" s="235"/>
      <c r="Q78" s="107"/>
      <c r="R78" s="2"/>
    </row>
    <row r="79" spans="1:83" ht="14.5">
      <c r="A79" s="238" t="s">
        <v>177</v>
      </c>
      <c r="C79" s="107">
        <f>-C138</f>
        <v>-46811.280711401327</v>
      </c>
      <c r="D79" s="107">
        <f t="shared" ref="D79:N79" si="19">-D138</f>
        <v>-36080.990507797083</v>
      </c>
      <c r="E79" s="107">
        <f t="shared" si="19"/>
        <v>-38520.473018344943</v>
      </c>
      <c r="F79" s="107">
        <f t="shared" si="19"/>
        <v>-47330.565681948232</v>
      </c>
      <c r="G79" s="107">
        <f t="shared" si="19"/>
        <v>-56464.761238972118</v>
      </c>
      <c r="H79" s="107">
        <f t="shared" si="19"/>
        <v>-42592.961474193493</v>
      </c>
      <c r="I79" s="107">
        <f t="shared" si="19"/>
        <v>-48886.866040195746</v>
      </c>
      <c r="J79" s="107">
        <f t="shared" si="19"/>
        <v>-62924.830842879528</v>
      </c>
      <c r="K79" s="107">
        <f t="shared" si="19"/>
        <v>-36154.917086071051</v>
      </c>
      <c r="L79" s="107">
        <f t="shared" si="19"/>
        <v>-39305.105524327788</v>
      </c>
      <c r="M79" s="107">
        <f t="shared" si="19"/>
        <v>-40657.920758947264</v>
      </c>
      <c r="N79" s="107">
        <f t="shared" si="19"/>
        <v>-46276.250130024186</v>
      </c>
      <c r="O79" s="231">
        <f>SUM(C79:N79)</f>
        <v>-542006.92301510274</v>
      </c>
      <c r="P79" s="235"/>
      <c r="Q79" s="107"/>
      <c r="R79" s="2"/>
    </row>
    <row r="80" spans="1:83" ht="14.5">
      <c r="A80" s="239" t="s">
        <v>178</v>
      </c>
      <c r="C80" s="107">
        <f t="shared" ref="C80:N80" si="20">SUM(C77:C79)</f>
        <v>-11101.48439058644</v>
      </c>
      <c r="D80" s="107">
        <f t="shared" si="20"/>
        <v>3524.5025342546869</v>
      </c>
      <c r="E80" s="107">
        <f t="shared" si="20"/>
        <v>6130.5004351301177</v>
      </c>
      <c r="F80" s="107">
        <f t="shared" si="20"/>
        <v>-1249.8921834329449</v>
      </c>
      <c r="G80" s="107">
        <f t="shared" si="20"/>
        <v>-7751.311055449245</v>
      </c>
      <c r="H80" s="107">
        <f t="shared" si="20"/>
        <v>6321.4954896147756</v>
      </c>
      <c r="I80" s="107">
        <f t="shared" si="20"/>
        <v>-5097.53877602391</v>
      </c>
      <c r="J80" s="107">
        <f t="shared" si="20"/>
        <v>7579.0840764169843</v>
      </c>
      <c r="K80" s="107">
        <f t="shared" si="20"/>
        <v>7430.9951699291778</v>
      </c>
      <c r="L80" s="107">
        <f t="shared" si="20"/>
        <v>5485.9657315528748</v>
      </c>
      <c r="M80" s="107">
        <f t="shared" si="20"/>
        <v>2454.130868685359</v>
      </c>
      <c r="N80" s="107">
        <f t="shared" si="20"/>
        <v>-6789.4961781265301</v>
      </c>
      <c r="O80" s="231">
        <f>SUM(C80:N80)</f>
        <v>6936.951721964906</v>
      </c>
      <c r="P80" s="235"/>
      <c r="Q80" s="107"/>
      <c r="R80" s="7"/>
    </row>
    <row r="81" spans="1:34" ht="14.5">
      <c r="A81" s="240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232"/>
      <c r="P81" s="235"/>
      <c r="Q81" s="107"/>
      <c r="R81" s="2"/>
    </row>
    <row r="82" spans="1:34" ht="14.5">
      <c r="A82" s="239" t="s">
        <v>179</v>
      </c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232"/>
      <c r="P82" s="235"/>
      <c r="Q82" s="107"/>
      <c r="R82" s="2"/>
    </row>
    <row r="83" spans="1:34" ht="14.5">
      <c r="A83" s="9" t="s">
        <v>180</v>
      </c>
      <c r="C83" s="107">
        <f>C114</f>
        <v>0</v>
      </c>
      <c r="D83" s="107">
        <f t="shared" ref="D83:N83" si="21">D114</f>
        <v>0</v>
      </c>
      <c r="E83" s="107">
        <f t="shared" si="21"/>
        <v>0</v>
      </c>
      <c r="F83" s="107">
        <f t="shared" si="21"/>
        <v>0</v>
      </c>
      <c r="G83" s="107">
        <f t="shared" si="21"/>
        <v>0</v>
      </c>
      <c r="H83" s="107">
        <f t="shared" si="21"/>
        <v>0</v>
      </c>
      <c r="I83" s="107">
        <f t="shared" si="21"/>
        <v>0</v>
      </c>
      <c r="J83" s="107">
        <f t="shared" si="21"/>
        <v>0</v>
      </c>
      <c r="K83" s="107">
        <f t="shared" si="21"/>
        <v>0</v>
      </c>
      <c r="L83" s="107">
        <f t="shared" si="21"/>
        <v>0</v>
      </c>
      <c r="M83" s="107">
        <f t="shared" si="21"/>
        <v>0</v>
      </c>
      <c r="N83" s="107">
        <f t="shared" si="21"/>
        <v>0</v>
      </c>
      <c r="O83" s="231">
        <f>SUM(C83:N83)</f>
        <v>0</v>
      </c>
      <c r="P83" s="235"/>
      <c r="Q83" s="107"/>
      <c r="R83" s="2"/>
    </row>
    <row r="84" spans="1:34" ht="14.5">
      <c r="A84" s="238" t="s">
        <v>181</v>
      </c>
      <c r="C84" s="107">
        <f>-(Input!$C$41-'P&amp;LY1'!C62)</f>
        <v>0</v>
      </c>
      <c r="D84" s="107">
        <f>IF(Input!$C$41&gt;C106,-C106,-(Input!$C$41-'P&amp;LY1'!D62))</f>
        <v>0</v>
      </c>
      <c r="E84" s="107">
        <f>IF(Input!$C$41&gt;D106,-D106,-(Input!$C$41-'P&amp;LY1'!E62))</f>
        <v>0</v>
      </c>
      <c r="F84" s="107">
        <f>IF(Input!$C$41&gt;E106,-E106,-(Input!$C$41-'P&amp;LY1'!F62))</f>
        <v>0</v>
      </c>
      <c r="G84" s="107">
        <f>IF(Input!$C$41&gt;F106,-F106,-(Input!$C$41-'P&amp;LY1'!G62))</f>
        <v>0</v>
      </c>
      <c r="H84" s="107">
        <f>IF(Input!$C$41&gt;G106,-G106,-(Input!$C$41-'P&amp;LY1'!H62))</f>
        <v>0</v>
      </c>
      <c r="I84" s="107">
        <f>IF(Input!$C$41&gt;H106,-H106,-(Input!$C$41-'P&amp;LY1'!I62))</f>
        <v>0</v>
      </c>
      <c r="J84" s="107">
        <f>IF(Input!$C$41&gt;I106,-I106,-(Input!$C$41-'P&amp;LY1'!J62))</f>
        <v>0</v>
      </c>
      <c r="K84" s="107">
        <f>IF(Input!$C$41&gt;J106,-J106,-(Input!$C$41-'P&amp;LY1'!K62))</f>
        <v>0</v>
      </c>
      <c r="L84" s="107">
        <f>IF(Input!$C$41&gt;K106,-K106,-(Input!$C$41-'P&amp;LY1'!L62))</f>
        <v>0</v>
      </c>
      <c r="M84" s="107">
        <f>IF(Input!$C$41&gt;L106,-L106,-(Input!$C$41-'P&amp;LY1'!M62))</f>
        <v>0</v>
      </c>
      <c r="N84" s="107">
        <f>IF(Input!$C$41&gt;M106,-M106,-(Input!$C$41-'P&amp;LY1'!N62))</f>
        <v>0</v>
      </c>
      <c r="O84" s="231">
        <f>SUM(C84:N84)</f>
        <v>0</v>
      </c>
      <c r="P84" s="235"/>
      <c r="Q84" s="107"/>
    </row>
    <row r="85" spans="1:34" ht="14.5">
      <c r="A85" s="238" t="s">
        <v>182</v>
      </c>
      <c r="C85" s="107">
        <f>-(Input!$C$55-C65)</f>
        <v>0</v>
      </c>
      <c r="D85" s="107">
        <f>IF(Input!$C$55&gt;C110,-C110,-(Input!$C$55-D65))</f>
        <v>0</v>
      </c>
      <c r="E85" s="107">
        <f>IF(Input!$C$55&gt;D110,-D110,-(Input!$C$55-E65))</f>
        <v>0</v>
      </c>
      <c r="F85" s="107">
        <f>IF(Input!$C$55&gt;E110,-E110,-(Input!$C$55-F65))</f>
        <v>0</v>
      </c>
      <c r="G85" s="107">
        <f>IF(Input!$C$55&gt;F110,-F110,-(Input!$C$55-G65))</f>
        <v>0</v>
      </c>
      <c r="H85" s="107">
        <f>IF(Input!$C$55&gt;G110,-G110,-(Input!$C$55-H65))</f>
        <v>0</v>
      </c>
      <c r="I85" s="107">
        <f>IF(Input!$C$55&gt;H110,-H110,-(Input!$C$55-I65))</f>
        <v>0</v>
      </c>
      <c r="J85" s="107">
        <f>IF(Input!$C$55&gt;I110,-I110,-(Input!$C$55-J65))</f>
        <v>0</v>
      </c>
      <c r="K85" s="107">
        <f>IF(Input!$C$55&gt;J110,-J110,-(Input!$C$55-K65))</f>
        <v>0</v>
      </c>
      <c r="L85" s="107">
        <f>IF(Input!$C$55&gt;K110,-K110,-(Input!$C$55-L65))</f>
        <v>0</v>
      </c>
      <c r="M85" s="107">
        <f>IF(Input!$C$55&gt;L110,-L110,-(Input!$C$55-M65))</f>
        <v>0</v>
      </c>
      <c r="N85" s="107">
        <f>IF(Input!$C$55&gt;M110,-M110,-(Input!$C$55-N65))</f>
        <v>0</v>
      </c>
      <c r="O85" s="231">
        <f>SUM(C85:N85)</f>
        <v>0</v>
      </c>
      <c r="P85" s="235"/>
      <c r="Q85" s="71"/>
    </row>
    <row r="86" spans="1:34" ht="14.5">
      <c r="A86" s="9" t="s">
        <v>183</v>
      </c>
      <c r="C86" s="107">
        <f>-C115</f>
        <v>0</v>
      </c>
      <c r="D86" s="107">
        <f t="shared" ref="D86:N86" si="22">-D115</f>
        <v>0</v>
      </c>
      <c r="E86" s="107">
        <f t="shared" si="22"/>
        <v>0</v>
      </c>
      <c r="F86" s="107">
        <f t="shared" si="22"/>
        <v>0</v>
      </c>
      <c r="G86" s="107">
        <f t="shared" si="22"/>
        <v>0</v>
      </c>
      <c r="H86" s="107">
        <f t="shared" si="22"/>
        <v>0</v>
      </c>
      <c r="I86" s="107">
        <f t="shared" si="22"/>
        <v>0</v>
      </c>
      <c r="J86" s="107">
        <f t="shared" si="22"/>
        <v>0</v>
      </c>
      <c r="K86" s="107">
        <f t="shared" si="22"/>
        <v>0</v>
      </c>
      <c r="L86" s="107">
        <f t="shared" si="22"/>
        <v>0</v>
      </c>
      <c r="M86" s="107">
        <f t="shared" si="22"/>
        <v>0</v>
      </c>
      <c r="N86" s="107">
        <f t="shared" si="22"/>
        <v>0</v>
      </c>
      <c r="O86" s="231">
        <f>SUM(C86:N86)</f>
        <v>0</v>
      </c>
      <c r="P86" s="235"/>
      <c r="Q86" s="236"/>
    </row>
    <row r="87" spans="1:34" ht="14.5">
      <c r="A87" s="224" t="s">
        <v>184</v>
      </c>
      <c r="C87" s="107">
        <f>-Input!$G$45-Input!$I$45</f>
        <v>0</v>
      </c>
      <c r="D87" s="107">
        <f>IF((Input!$G$46+Input!$I$46)&gt;C120,-C120,-Input!$G$46-Input!$I$46)</f>
        <v>0</v>
      </c>
      <c r="E87" s="107">
        <f>IF((Input!$G$46+Input!$I$46)&gt;D120,-D120,-Input!$G$46-Input!$I$46)</f>
        <v>0</v>
      </c>
      <c r="F87" s="107">
        <f>IF((Input!$G$46+Input!$I$46)&gt;E120,-E120,-Input!$G$46-Input!$I$46)</f>
        <v>0</v>
      </c>
      <c r="G87" s="107">
        <f>IF((Input!$G$46+Input!$I$46)&gt;F120,-F120,-Input!$G$46-Input!$I$46)</f>
        <v>0</v>
      </c>
      <c r="H87" s="107">
        <f>IF((Input!$G$46+Input!$I$46)&gt;G120,-G120,-Input!$G$46-Input!$I$46)</f>
        <v>0</v>
      </c>
      <c r="I87" s="107">
        <f>IF((Input!$G$46+Input!$I$46)&gt;H120,-H120,-Input!$G$46-Input!$I$46)</f>
        <v>0</v>
      </c>
      <c r="J87" s="107">
        <f>IF((Input!$G$46+Input!$I$46)&gt;I120,-I120,-Input!$G$46-Input!$I$46)</f>
        <v>0</v>
      </c>
      <c r="K87" s="107">
        <f>IF((Input!$G$46+Input!$I$46)&gt;J120,-J120,-Input!$G$46-Input!$I$46)</f>
        <v>0</v>
      </c>
      <c r="L87" s="107">
        <f>IF((Input!$G$46+Input!$I$46)&gt;K120,-K120,-Input!$G$46-Input!$I$46)</f>
        <v>0</v>
      </c>
      <c r="M87" s="107">
        <f>IF((Input!$G$46+Input!$I$46)&gt;L120,-L120,-Input!$G$46-Input!$I$46)</f>
        <v>0</v>
      </c>
      <c r="N87" s="107">
        <f>IF((Input!$G$46+Input!$I$46)&gt;M120,-M120,-Input!$G$46-Input!$I$46)</f>
        <v>0</v>
      </c>
      <c r="O87" s="231">
        <f>SUM(C87:N87)</f>
        <v>0</v>
      </c>
      <c r="P87" s="2"/>
      <c r="Q87" s="2"/>
    </row>
    <row r="88" spans="1:34" ht="14.5">
      <c r="A88" s="224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231"/>
      <c r="P88" s="2"/>
      <c r="Q88" s="2"/>
    </row>
    <row r="89" spans="1:34" ht="14.5">
      <c r="A89" s="31" t="s">
        <v>185</v>
      </c>
      <c r="C89" s="107">
        <f>-Input!$C60</f>
        <v>0</v>
      </c>
      <c r="D89" s="107">
        <f>-Input!$C61</f>
        <v>0</v>
      </c>
      <c r="E89" s="107">
        <f>-Input!$C62</f>
        <v>0</v>
      </c>
      <c r="F89" s="107">
        <f>-Input!$C63</f>
        <v>0</v>
      </c>
      <c r="G89" s="107">
        <f>-Input!$C64</f>
        <v>0</v>
      </c>
      <c r="H89" s="107">
        <f>-Input!$C65</f>
        <v>0</v>
      </c>
      <c r="I89" s="107">
        <f>-Input!$C66</f>
        <v>0</v>
      </c>
      <c r="J89" s="107">
        <f>-Input!$C67</f>
        <v>0</v>
      </c>
      <c r="K89" s="107">
        <f>-Input!$C68</f>
        <v>0</v>
      </c>
      <c r="L89" s="107">
        <f>-Input!$C69</f>
        <v>0</v>
      </c>
      <c r="M89" s="107">
        <f>-Input!$C70</f>
        <v>0</v>
      </c>
      <c r="N89" s="107">
        <f>-Input!$C71</f>
        <v>0</v>
      </c>
      <c r="O89" s="231">
        <f>SUM(C89:N89)</f>
        <v>0</v>
      </c>
      <c r="P89" s="2"/>
      <c r="Q89" s="2"/>
    </row>
    <row r="90" spans="1:34" ht="14.5">
      <c r="A90" s="10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232"/>
    </row>
    <row r="91" spans="1:34" ht="14.5">
      <c r="A91" s="31" t="s">
        <v>186</v>
      </c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232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ht="14.5">
      <c r="A92" s="9" t="s">
        <v>187</v>
      </c>
      <c r="C92" s="523"/>
      <c r="D92" s="523"/>
      <c r="E92" s="523"/>
      <c r="F92" s="523"/>
      <c r="G92" s="523"/>
      <c r="H92" s="523"/>
      <c r="I92" s="523"/>
      <c r="J92" s="523"/>
      <c r="K92" s="523"/>
      <c r="L92" s="523"/>
      <c r="M92" s="523"/>
      <c r="N92" s="523"/>
      <c r="O92" s="318">
        <f>SUM(C92:N92)</f>
        <v>0</v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ht="14.5">
      <c r="A93" s="9" t="s">
        <v>188</v>
      </c>
      <c r="C93" s="523"/>
      <c r="D93" s="523"/>
      <c r="E93" s="523"/>
      <c r="F93" s="523"/>
      <c r="G93" s="523"/>
      <c r="H93" s="523"/>
      <c r="I93" s="523"/>
      <c r="J93" s="523"/>
      <c r="K93" s="523"/>
      <c r="L93" s="523"/>
      <c r="M93" s="523"/>
      <c r="N93" s="523"/>
      <c r="O93" s="318">
        <f>SUM(C93:N93)</f>
        <v>0</v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ht="15" thickBot="1">
      <c r="A94" s="10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232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ht="18" customHeight="1" thickBot="1">
      <c r="A95" s="31" t="s">
        <v>189</v>
      </c>
      <c r="C95" s="107">
        <f>C74+C80+C83+SUM(C84:C89)+C92+C93</f>
        <v>5958.2039529217727</v>
      </c>
      <c r="D95" s="107">
        <f t="shared" ref="D95:N95" si="23">D74+D80+D83+SUM(D84:D89)+D92+D93</f>
        <v>35260.093513687832</v>
      </c>
      <c r="E95" s="107">
        <f t="shared" si="23"/>
        <v>51245.724706240639</v>
      </c>
      <c r="F95" s="107">
        <f t="shared" si="23"/>
        <v>34389.33568037823</v>
      </c>
      <c r="G95" s="107">
        <f t="shared" si="23"/>
        <v>43252.402755883872</v>
      </c>
      <c r="H95" s="107">
        <f t="shared" si="23"/>
        <v>46384.962001697524</v>
      </c>
      <c r="I95" s="107">
        <f t="shared" si="23"/>
        <v>38786.292524325487</v>
      </c>
      <c r="J95" s="107">
        <f t="shared" si="23"/>
        <v>87231.408839748401</v>
      </c>
      <c r="K95" s="107">
        <f t="shared" si="23"/>
        <v>43520.226726315312</v>
      </c>
      <c r="L95" s="107">
        <f t="shared" si="23"/>
        <v>46568.256737197087</v>
      </c>
      <c r="M95" s="107">
        <f t="shared" si="23"/>
        <v>41815.733314003424</v>
      </c>
      <c r="N95" s="107">
        <f t="shared" si="23"/>
        <v>25702.414291011402</v>
      </c>
      <c r="O95" s="328">
        <f>SUM(C95:N95)</f>
        <v>500115.05504341103</v>
      </c>
    </row>
    <row r="96" spans="1:34" ht="14.5"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232"/>
    </row>
    <row r="97" spans="1:34" s="7" customFormat="1" ht="14.5">
      <c r="A97" s="360" t="s">
        <v>190</v>
      </c>
      <c r="B97" s="361"/>
      <c r="C97" s="362">
        <f t="shared" ref="C97:O97" si="24">C72+C95</f>
        <v>47958.203952921773</v>
      </c>
      <c r="D97" s="362">
        <f t="shared" si="24"/>
        <v>83218.297466609598</v>
      </c>
      <c r="E97" s="362">
        <f t="shared" si="24"/>
        <v>134464.02217285024</v>
      </c>
      <c r="F97" s="362">
        <f t="shared" si="24"/>
        <v>168853.35785322846</v>
      </c>
      <c r="G97" s="362">
        <f t="shared" si="24"/>
        <v>212105.76060911233</v>
      </c>
      <c r="H97" s="362">
        <f t="shared" si="24"/>
        <v>258490.72261080984</v>
      </c>
      <c r="I97" s="362">
        <f t="shared" si="24"/>
        <v>297277.01513513533</v>
      </c>
      <c r="J97" s="362">
        <f t="shared" si="24"/>
        <v>384508.42397488374</v>
      </c>
      <c r="K97" s="362">
        <f t="shared" si="24"/>
        <v>428028.65070119908</v>
      </c>
      <c r="L97" s="362">
        <f t="shared" si="24"/>
        <v>474596.90743839619</v>
      </c>
      <c r="M97" s="362">
        <f t="shared" si="24"/>
        <v>516412.64075239963</v>
      </c>
      <c r="N97" s="362">
        <f t="shared" si="24"/>
        <v>542115.05504341098</v>
      </c>
      <c r="O97" s="363">
        <f t="shared" si="24"/>
        <v>542115.05504341098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s="7" customFormat="1" ht="14.5">
      <c r="A98" s="12"/>
      <c r="C98" s="236"/>
      <c r="D98" s="236"/>
      <c r="E98" s="236"/>
      <c r="F98" s="236"/>
      <c r="G98" s="236"/>
      <c r="H98" s="236"/>
      <c r="I98" s="236"/>
      <c r="J98" s="236"/>
      <c r="K98" s="236"/>
      <c r="L98" s="236"/>
      <c r="M98" s="236"/>
      <c r="N98" s="236"/>
      <c r="O98" s="236"/>
      <c r="R98" s="2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s="7" customFormat="1" ht="14.5">
      <c r="A99" s="12"/>
      <c r="C99" s="236"/>
      <c r="D99" s="236"/>
      <c r="E99" s="236"/>
      <c r="F99" s="236"/>
      <c r="G99" s="236"/>
      <c r="H99" s="236"/>
      <c r="I99" s="236"/>
      <c r="J99" s="236"/>
      <c r="K99" s="236"/>
      <c r="L99" s="236"/>
      <c r="M99" s="236"/>
      <c r="N99" s="236"/>
      <c r="O99" s="236"/>
      <c r="R99" s="2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s="7" customFormat="1" ht="15.5">
      <c r="A100" s="241" t="s">
        <v>86</v>
      </c>
      <c r="C100" s="242"/>
      <c r="D100" s="242"/>
      <c r="E100" s="242"/>
      <c r="F100" s="242"/>
      <c r="G100" s="242"/>
      <c r="H100" s="242"/>
      <c r="I100" s="242"/>
      <c r="J100" s="242"/>
      <c r="K100" s="242"/>
      <c r="L100" s="242"/>
      <c r="M100" s="242"/>
      <c r="N100" s="242"/>
      <c r="O100" s="236"/>
      <c r="R100" s="2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4.5">
      <c r="A101" s="15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</row>
    <row r="102" spans="1:34" ht="15" thickBot="1">
      <c r="A102" s="243" t="s">
        <v>191</v>
      </c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R102" s="7"/>
    </row>
    <row r="103" spans="1:34" ht="15" thickTop="1">
      <c r="A103" s="106" t="s">
        <v>192</v>
      </c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251" t="s">
        <v>193</v>
      </c>
      <c r="R103" s="2"/>
    </row>
    <row r="104" spans="1:34" ht="14.5">
      <c r="A104" s="9" t="s">
        <v>194</v>
      </c>
      <c r="C104" s="107">
        <f>Input!C42</f>
        <v>0</v>
      </c>
      <c r="D104" s="107">
        <f>C106</f>
        <v>0</v>
      </c>
      <c r="E104" s="107">
        <f t="shared" ref="E104:N104" si="25">D106</f>
        <v>0</v>
      </c>
      <c r="F104" s="107">
        <f t="shared" si="25"/>
        <v>0</v>
      </c>
      <c r="G104" s="107">
        <f t="shared" si="25"/>
        <v>0</v>
      </c>
      <c r="H104" s="107">
        <f t="shared" si="25"/>
        <v>0</v>
      </c>
      <c r="I104" s="107">
        <f t="shared" si="25"/>
        <v>0</v>
      </c>
      <c r="J104" s="107">
        <f t="shared" si="25"/>
        <v>0</v>
      </c>
      <c r="K104" s="107">
        <f t="shared" si="25"/>
        <v>0</v>
      </c>
      <c r="L104" s="107">
        <f t="shared" si="25"/>
        <v>0</v>
      </c>
      <c r="M104" s="107">
        <f t="shared" si="25"/>
        <v>0</v>
      </c>
      <c r="N104" s="107">
        <f t="shared" si="25"/>
        <v>0</v>
      </c>
      <c r="O104" s="31"/>
      <c r="P104" s="2"/>
      <c r="Q104" s="2"/>
      <c r="R104" s="14"/>
    </row>
    <row r="105" spans="1:34" ht="14.5">
      <c r="A105" s="9" t="s">
        <v>195</v>
      </c>
      <c r="C105" s="107">
        <f>-C84</f>
        <v>0</v>
      </c>
      <c r="D105" s="107">
        <f t="shared" ref="D105:N105" si="26">-D84</f>
        <v>0</v>
      </c>
      <c r="E105" s="107">
        <f t="shared" si="26"/>
        <v>0</v>
      </c>
      <c r="F105" s="107">
        <f t="shared" si="26"/>
        <v>0</v>
      </c>
      <c r="G105" s="107">
        <f t="shared" si="26"/>
        <v>0</v>
      </c>
      <c r="H105" s="107">
        <f t="shared" si="26"/>
        <v>0</v>
      </c>
      <c r="I105" s="107">
        <f t="shared" si="26"/>
        <v>0</v>
      </c>
      <c r="J105" s="107">
        <f t="shared" si="26"/>
        <v>0</v>
      </c>
      <c r="K105" s="107">
        <f t="shared" si="26"/>
        <v>0</v>
      </c>
      <c r="L105" s="107">
        <f t="shared" si="26"/>
        <v>0</v>
      </c>
      <c r="M105" s="107">
        <f t="shared" si="26"/>
        <v>0</v>
      </c>
      <c r="N105" s="107">
        <f t="shared" si="26"/>
        <v>0</v>
      </c>
      <c r="O105" s="31"/>
      <c r="P105" s="2"/>
      <c r="Q105" s="2"/>
    </row>
    <row r="106" spans="1:34" ht="14.5">
      <c r="A106" s="9" t="s">
        <v>196</v>
      </c>
      <c r="C106" s="107">
        <f>C104-C105</f>
        <v>0</v>
      </c>
      <c r="D106" s="107">
        <f t="shared" ref="D106:N106" si="27">D104-D105</f>
        <v>0</v>
      </c>
      <c r="E106" s="107">
        <f t="shared" si="27"/>
        <v>0</v>
      </c>
      <c r="F106" s="107">
        <f t="shared" si="27"/>
        <v>0</v>
      </c>
      <c r="G106" s="107">
        <f t="shared" si="27"/>
        <v>0</v>
      </c>
      <c r="H106" s="107">
        <f t="shared" si="27"/>
        <v>0</v>
      </c>
      <c r="I106" s="107">
        <f t="shared" si="27"/>
        <v>0</v>
      </c>
      <c r="J106" s="107">
        <f t="shared" si="27"/>
        <v>0</v>
      </c>
      <c r="K106" s="107">
        <f t="shared" si="27"/>
        <v>0</v>
      </c>
      <c r="L106" s="107">
        <f t="shared" si="27"/>
        <v>0</v>
      </c>
      <c r="M106" s="107">
        <f t="shared" si="27"/>
        <v>0</v>
      </c>
      <c r="N106" s="107">
        <f t="shared" si="27"/>
        <v>0</v>
      </c>
      <c r="O106" s="31">
        <f>N106</f>
        <v>0</v>
      </c>
      <c r="P106" s="2"/>
      <c r="Q106" s="2"/>
    </row>
    <row r="107" spans="1:34" ht="14.5">
      <c r="A107" s="245" t="s">
        <v>197</v>
      </c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244"/>
      <c r="R107" s="7"/>
    </row>
    <row r="108" spans="1:34" ht="14.5">
      <c r="A108" s="9" t="s">
        <v>194</v>
      </c>
      <c r="C108" s="316">
        <f>Input!C56</f>
        <v>0</v>
      </c>
      <c r="D108" s="236">
        <f>C110</f>
        <v>0</v>
      </c>
      <c r="E108" s="236">
        <f t="shared" ref="E108:N108" si="28">D110</f>
        <v>0</v>
      </c>
      <c r="F108" s="236">
        <f t="shared" si="28"/>
        <v>0</v>
      </c>
      <c r="G108" s="236">
        <f t="shared" si="28"/>
        <v>0</v>
      </c>
      <c r="H108" s="236">
        <f t="shared" si="28"/>
        <v>0</v>
      </c>
      <c r="I108" s="236">
        <f t="shared" si="28"/>
        <v>0</v>
      </c>
      <c r="J108" s="236">
        <f t="shared" si="28"/>
        <v>0</v>
      </c>
      <c r="K108" s="236">
        <f t="shared" si="28"/>
        <v>0</v>
      </c>
      <c r="L108" s="236">
        <f t="shared" si="28"/>
        <v>0</v>
      </c>
      <c r="M108" s="236">
        <f t="shared" si="28"/>
        <v>0</v>
      </c>
      <c r="N108" s="236">
        <f t="shared" si="28"/>
        <v>0</v>
      </c>
      <c r="O108" s="246"/>
      <c r="P108" s="7"/>
      <c r="Q108" s="7"/>
      <c r="R108" s="7"/>
    </row>
    <row r="109" spans="1:34" ht="14.5">
      <c r="A109" s="9" t="s">
        <v>195</v>
      </c>
      <c r="C109" s="107">
        <f>-C85</f>
        <v>0</v>
      </c>
      <c r="D109" s="107">
        <f t="shared" ref="D109:N109" si="29">-D85</f>
        <v>0</v>
      </c>
      <c r="E109" s="107">
        <f t="shared" si="29"/>
        <v>0</v>
      </c>
      <c r="F109" s="107">
        <f t="shared" si="29"/>
        <v>0</v>
      </c>
      <c r="G109" s="107">
        <f t="shared" si="29"/>
        <v>0</v>
      </c>
      <c r="H109" s="107">
        <f t="shared" si="29"/>
        <v>0</v>
      </c>
      <c r="I109" s="107">
        <f t="shared" si="29"/>
        <v>0</v>
      </c>
      <c r="J109" s="107">
        <f t="shared" si="29"/>
        <v>0</v>
      </c>
      <c r="K109" s="107">
        <f t="shared" si="29"/>
        <v>0</v>
      </c>
      <c r="L109" s="107">
        <f t="shared" si="29"/>
        <v>0</v>
      </c>
      <c r="M109" s="107">
        <f t="shared" si="29"/>
        <v>0</v>
      </c>
      <c r="N109" s="107">
        <f t="shared" si="29"/>
        <v>0</v>
      </c>
      <c r="O109" s="31"/>
      <c r="P109" s="2"/>
      <c r="Q109" s="2"/>
      <c r="R109" s="107"/>
      <c r="S109" s="107"/>
      <c r="T109" s="107"/>
      <c r="U109" s="107"/>
      <c r="V109" s="107"/>
      <c r="W109" s="107"/>
    </row>
    <row r="110" spans="1:34" ht="14.5">
      <c r="A110" s="9" t="s">
        <v>196</v>
      </c>
      <c r="C110" s="316">
        <f>C108-C109</f>
        <v>0</v>
      </c>
      <c r="D110" s="316">
        <f>D108-D109</f>
        <v>0</v>
      </c>
      <c r="E110" s="316">
        <f t="shared" ref="E110:N110" si="30">E108-E109</f>
        <v>0</v>
      </c>
      <c r="F110" s="316">
        <f t="shared" si="30"/>
        <v>0</v>
      </c>
      <c r="G110" s="316">
        <f t="shared" si="30"/>
        <v>0</v>
      </c>
      <c r="H110" s="316">
        <f t="shared" si="30"/>
        <v>0</v>
      </c>
      <c r="I110" s="316">
        <f t="shared" si="30"/>
        <v>0</v>
      </c>
      <c r="J110" s="316">
        <f t="shared" si="30"/>
        <v>0</v>
      </c>
      <c r="K110" s="316">
        <f t="shared" si="30"/>
        <v>0</v>
      </c>
      <c r="L110" s="316">
        <f t="shared" si="30"/>
        <v>0</v>
      </c>
      <c r="M110" s="316">
        <f t="shared" si="30"/>
        <v>0</v>
      </c>
      <c r="N110" s="316">
        <f t="shared" si="30"/>
        <v>0</v>
      </c>
      <c r="O110" s="31">
        <f>N110</f>
        <v>0</v>
      </c>
      <c r="P110" s="315"/>
      <c r="Q110" s="315"/>
      <c r="R110" s="315"/>
    </row>
    <row r="111" spans="1:34" ht="14.5">
      <c r="A111" s="245" t="s">
        <v>198</v>
      </c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244"/>
    </row>
    <row r="112" spans="1:34" ht="14.5">
      <c r="A112" s="224" t="s">
        <v>199</v>
      </c>
      <c r="B112" s="31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244"/>
      <c r="R112" s="2"/>
    </row>
    <row r="113" spans="1:34" ht="14.5">
      <c r="A113" s="9" t="s">
        <v>194</v>
      </c>
      <c r="C113" s="107">
        <f>Input!C45</f>
        <v>36000</v>
      </c>
      <c r="D113" s="236">
        <f>C116</f>
        <v>36000</v>
      </c>
      <c r="E113" s="236">
        <f t="shared" ref="E113:N113" si="31">D116</f>
        <v>36000</v>
      </c>
      <c r="F113" s="236">
        <f t="shared" si="31"/>
        <v>36000</v>
      </c>
      <c r="G113" s="236">
        <f t="shared" si="31"/>
        <v>36000</v>
      </c>
      <c r="H113" s="236">
        <f t="shared" si="31"/>
        <v>36000</v>
      </c>
      <c r="I113" s="236">
        <f t="shared" si="31"/>
        <v>36000</v>
      </c>
      <c r="J113" s="236">
        <f t="shared" si="31"/>
        <v>36000</v>
      </c>
      <c r="K113" s="236">
        <f t="shared" si="31"/>
        <v>36000</v>
      </c>
      <c r="L113" s="236">
        <f t="shared" si="31"/>
        <v>36000</v>
      </c>
      <c r="M113" s="236">
        <f t="shared" si="31"/>
        <v>36000</v>
      </c>
      <c r="N113" s="236">
        <f t="shared" si="31"/>
        <v>36000</v>
      </c>
      <c r="O113" s="246"/>
      <c r="P113" s="7"/>
      <c r="Q113" s="7"/>
      <c r="R113" s="315"/>
    </row>
    <row r="114" spans="1:34" ht="14.5">
      <c r="A114" s="9" t="s">
        <v>200</v>
      </c>
      <c r="B114" s="15" t="s">
        <v>201</v>
      </c>
      <c r="C114" s="524"/>
      <c r="D114" s="525"/>
      <c r="E114" s="525"/>
      <c r="F114" s="525"/>
      <c r="G114" s="525"/>
      <c r="H114" s="525"/>
      <c r="I114" s="525"/>
      <c r="J114" s="525"/>
      <c r="K114" s="525"/>
      <c r="L114" s="525"/>
      <c r="M114" s="525"/>
      <c r="N114" s="525"/>
      <c r="O114" s="327">
        <f>SUM(C114:N114)</f>
        <v>0</v>
      </c>
      <c r="P114" s="7"/>
      <c r="Q114" s="7"/>
      <c r="R114" s="7"/>
    </row>
    <row r="115" spans="1:34" ht="14.5">
      <c r="A115" s="9" t="s">
        <v>195</v>
      </c>
      <c r="B115" s="15" t="s">
        <v>201</v>
      </c>
      <c r="C115" s="524"/>
      <c r="D115" s="524"/>
      <c r="E115" s="524"/>
      <c r="F115" s="524"/>
      <c r="G115" s="524"/>
      <c r="H115" s="524"/>
      <c r="I115" s="524"/>
      <c r="J115" s="524"/>
      <c r="K115" s="524"/>
      <c r="L115" s="524"/>
      <c r="M115" s="524"/>
      <c r="N115" s="524"/>
      <c r="O115" s="327">
        <f>SUM(C115:N115)</f>
        <v>0</v>
      </c>
      <c r="P115" s="107"/>
      <c r="Q115" s="107"/>
      <c r="R115" s="107"/>
    </row>
    <row r="116" spans="1:34" ht="14.5">
      <c r="A116" s="9" t="s">
        <v>196</v>
      </c>
      <c r="C116" s="230">
        <f>C113+C114-C115</f>
        <v>36000</v>
      </c>
      <c r="D116" s="230">
        <f t="shared" ref="D116:N116" si="32">D113+D114-D115</f>
        <v>36000</v>
      </c>
      <c r="E116" s="230">
        <f t="shared" si="32"/>
        <v>36000</v>
      </c>
      <c r="F116" s="230">
        <f t="shared" si="32"/>
        <v>36000</v>
      </c>
      <c r="G116" s="230">
        <f t="shared" si="32"/>
        <v>36000</v>
      </c>
      <c r="H116" s="230">
        <f t="shared" si="32"/>
        <v>36000</v>
      </c>
      <c r="I116" s="230">
        <f t="shared" si="32"/>
        <v>36000</v>
      </c>
      <c r="J116" s="230">
        <f t="shared" si="32"/>
        <v>36000</v>
      </c>
      <c r="K116" s="230">
        <f t="shared" si="32"/>
        <v>36000</v>
      </c>
      <c r="L116" s="230">
        <f t="shared" si="32"/>
        <v>36000</v>
      </c>
      <c r="M116" s="230">
        <f t="shared" si="32"/>
        <v>36000</v>
      </c>
      <c r="N116" s="230">
        <f t="shared" si="32"/>
        <v>36000</v>
      </c>
      <c r="O116" s="231">
        <f>N116</f>
        <v>36000</v>
      </c>
      <c r="P116" s="14"/>
      <c r="Q116" s="14"/>
      <c r="R116" s="2"/>
    </row>
    <row r="117" spans="1:34" ht="14.5">
      <c r="A117" s="245" t="s">
        <v>202</v>
      </c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244"/>
      <c r="R117" s="2"/>
    </row>
    <row r="118" spans="1:34" ht="14.5">
      <c r="A118" s="9" t="s">
        <v>194</v>
      </c>
      <c r="C118" s="107">
        <f>Input!G40+Input!I40</f>
        <v>0</v>
      </c>
      <c r="D118" s="107">
        <f>C120</f>
        <v>0</v>
      </c>
      <c r="E118" s="107">
        <f t="shared" ref="E118:N118" si="33">D120</f>
        <v>0</v>
      </c>
      <c r="F118" s="107">
        <f t="shared" si="33"/>
        <v>0</v>
      </c>
      <c r="G118" s="107">
        <f t="shared" si="33"/>
        <v>0</v>
      </c>
      <c r="H118" s="107">
        <f t="shared" si="33"/>
        <v>0</v>
      </c>
      <c r="I118" s="107">
        <f t="shared" si="33"/>
        <v>0</v>
      </c>
      <c r="J118" s="107">
        <f t="shared" si="33"/>
        <v>0</v>
      </c>
      <c r="K118" s="107">
        <f t="shared" si="33"/>
        <v>0</v>
      </c>
      <c r="L118" s="107">
        <f t="shared" si="33"/>
        <v>0</v>
      </c>
      <c r="M118" s="107">
        <f t="shared" si="33"/>
        <v>0</v>
      </c>
      <c r="N118" s="107">
        <f t="shared" si="33"/>
        <v>0</v>
      </c>
      <c r="O118" s="31"/>
      <c r="P118" s="2"/>
      <c r="Q118" s="2"/>
      <c r="R118" s="2"/>
    </row>
    <row r="119" spans="1:34" ht="14.5">
      <c r="A119" s="9" t="s">
        <v>195</v>
      </c>
      <c r="C119" s="247">
        <f>-C87</f>
        <v>0</v>
      </c>
      <c r="D119" s="247">
        <f t="shared" ref="D119:N119" si="34">-D87</f>
        <v>0</v>
      </c>
      <c r="E119" s="247">
        <f t="shared" si="34"/>
        <v>0</v>
      </c>
      <c r="F119" s="247">
        <f t="shared" si="34"/>
        <v>0</v>
      </c>
      <c r="G119" s="247">
        <f t="shared" si="34"/>
        <v>0</v>
      </c>
      <c r="H119" s="247">
        <f t="shared" si="34"/>
        <v>0</v>
      </c>
      <c r="I119" s="247">
        <f t="shared" si="34"/>
        <v>0</v>
      </c>
      <c r="J119" s="247">
        <f t="shared" si="34"/>
        <v>0</v>
      </c>
      <c r="K119" s="247">
        <f t="shared" si="34"/>
        <v>0</v>
      </c>
      <c r="L119" s="247">
        <f t="shared" si="34"/>
        <v>0</v>
      </c>
      <c r="M119" s="247">
        <f t="shared" si="34"/>
        <v>0</v>
      </c>
      <c r="N119" s="247">
        <f t="shared" si="34"/>
        <v>0</v>
      </c>
      <c r="O119" s="248"/>
      <c r="P119" s="14"/>
      <c r="Q119" s="14"/>
      <c r="R119" s="217"/>
    </row>
    <row r="120" spans="1:34" ht="14.5">
      <c r="A120" s="9" t="s">
        <v>196</v>
      </c>
      <c r="C120" s="107">
        <f>C118-C119</f>
        <v>0</v>
      </c>
      <c r="D120" s="107">
        <f>D118-D119</f>
        <v>0</v>
      </c>
      <c r="E120" s="107">
        <f t="shared" ref="E120:N120" si="35">E118-E119</f>
        <v>0</v>
      </c>
      <c r="F120" s="107">
        <f t="shared" si="35"/>
        <v>0</v>
      </c>
      <c r="G120" s="107">
        <f t="shared" si="35"/>
        <v>0</v>
      </c>
      <c r="H120" s="107">
        <f t="shared" si="35"/>
        <v>0</v>
      </c>
      <c r="I120" s="107">
        <f t="shared" si="35"/>
        <v>0</v>
      </c>
      <c r="J120" s="107">
        <f t="shared" si="35"/>
        <v>0</v>
      </c>
      <c r="K120" s="107">
        <f t="shared" si="35"/>
        <v>0</v>
      </c>
      <c r="L120" s="107">
        <f t="shared" si="35"/>
        <v>0</v>
      </c>
      <c r="M120" s="107">
        <f t="shared" si="35"/>
        <v>0</v>
      </c>
      <c r="N120" s="107">
        <f t="shared" si="35"/>
        <v>0</v>
      </c>
      <c r="O120" s="31">
        <f>N120</f>
        <v>0</v>
      </c>
      <c r="P120" s="2"/>
      <c r="Q120" s="2"/>
    </row>
    <row r="121" spans="1:34" ht="14.5">
      <c r="A121" s="212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2"/>
      <c r="Q121" s="2"/>
      <c r="R121" s="7"/>
    </row>
    <row r="122" spans="1:34" ht="14.5">
      <c r="A122" s="212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2"/>
      <c r="Q122" s="2"/>
      <c r="R122" s="7"/>
    </row>
    <row r="123" spans="1:34" ht="15.5">
      <c r="A123" s="249" t="s">
        <v>203</v>
      </c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2"/>
      <c r="Q123" s="2"/>
      <c r="R123" s="12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spans="1:34" ht="15.5">
      <c r="A124" s="42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2"/>
      <c r="Q124" s="2"/>
      <c r="R124" s="7"/>
    </row>
    <row r="125" spans="1:34" ht="14.5">
      <c r="A125" s="239" t="s">
        <v>204</v>
      </c>
      <c r="C125" s="205">
        <f>VLOOKUP(MONTH(C6),Input!$R$37:$X$48,5)</f>
        <v>4.2460115949388512E-2</v>
      </c>
      <c r="D125" s="205">
        <f>VLOOKUP(MONTH(D6),Input!$R$37:$X$48,5)</f>
        <v>4.2460115949388512E-2</v>
      </c>
      <c r="E125" s="205">
        <f>VLOOKUP(MONTH(E6),Input!$R$37:$X$48,5)</f>
        <v>0.53219288223096772</v>
      </c>
      <c r="F125" s="205">
        <f>VLOOKUP(MONTH(F6),Input!$R$37:$X$48,5)</f>
        <v>4.3205958275147047E-2</v>
      </c>
      <c r="G125" s="205">
        <f>VLOOKUP(MONTH(G6),Input!$R$37:$X$48,5)</f>
        <v>4.2460115949388512E-2</v>
      </c>
      <c r="H125" s="205">
        <f>VLOOKUP(MONTH(H6),Input!$R$37:$X$48,5)</f>
        <v>4.2460115949388512E-2</v>
      </c>
      <c r="I125" s="205">
        <f>VLOOKUP(MONTH(I6),Input!$R$37:$X$48,5)</f>
        <v>4.2460115949388512E-2</v>
      </c>
      <c r="J125" s="205">
        <f>VLOOKUP(MONTH(J6),Input!$R$37:$X$48,5)</f>
        <v>4.2460115949388512E-2</v>
      </c>
      <c r="K125" s="205">
        <f>VLOOKUP(MONTH(K6),Input!$R$37:$X$48,5)</f>
        <v>4.2460115949388512E-2</v>
      </c>
      <c r="L125" s="205">
        <f>VLOOKUP(MONTH(L6),Input!$R$37:$X$48,5)</f>
        <v>4.2460115949388512E-2</v>
      </c>
      <c r="M125" s="205">
        <f>VLOOKUP(MONTH(M6),Input!$R$37:$X$48,5)</f>
        <v>4.2460115949388512E-2</v>
      </c>
      <c r="N125" s="205">
        <f>VLOOKUP(MONTH(N6),Input!$R$37:$X$48,5)</f>
        <v>4.2460115949388512E-2</v>
      </c>
      <c r="O125" s="205"/>
      <c r="P125" s="217"/>
      <c r="Q125" s="217"/>
      <c r="R125" s="12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spans="1:34" ht="15.5">
      <c r="A126" s="250" t="s">
        <v>205</v>
      </c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251" t="s">
        <v>206</v>
      </c>
      <c r="R126" s="256"/>
      <c r="S126" s="255"/>
      <c r="T126" s="255"/>
      <c r="U126" s="255"/>
      <c r="V126" s="255"/>
      <c r="W126" s="255"/>
      <c r="X126" s="255"/>
      <c r="Y126" s="255"/>
      <c r="Z126" s="255"/>
      <c r="AA126" s="255"/>
      <c r="AB126" s="255"/>
      <c r="AC126" s="255"/>
      <c r="AD126" s="255"/>
      <c r="AE126" s="255"/>
      <c r="AF126" s="255"/>
      <c r="AG126" s="255"/>
      <c r="AH126" s="255"/>
    </row>
    <row r="127" spans="1:34" ht="14.5">
      <c r="A127" s="9" t="s">
        <v>207</v>
      </c>
      <c r="C127" s="236">
        <f>Input!P38</f>
        <v>26</v>
      </c>
      <c r="D127" s="236">
        <f>C130</f>
        <v>-76.983440909559278</v>
      </c>
      <c r="E127" s="236">
        <f t="shared" ref="E127:N127" si="36">D130</f>
        <v>-262.69441335603483</v>
      </c>
      <c r="F127" s="236">
        <f t="shared" si="36"/>
        <v>1607.4184468834178</v>
      </c>
      <c r="G127" s="236">
        <f t="shared" si="36"/>
        <v>1394.6098279830765</v>
      </c>
      <c r="H127" s="236">
        <f t="shared" si="36"/>
        <v>1177.7218186333344</v>
      </c>
      <c r="I127" s="236">
        <f t="shared" si="36"/>
        <v>1012.0295397623371</v>
      </c>
      <c r="J127" s="236">
        <f t="shared" si="36"/>
        <v>1091.1956646095973</v>
      </c>
      <c r="K127" s="236">
        <f t="shared" si="36"/>
        <v>1059.6581923167025</v>
      </c>
      <c r="L127" s="236">
        <f t="shared" si="36"/>
        <v>1207.1813900592515</v>
      </c>
      <c r="M127" s="236">
        <f t="shared" si="36"/>
        <v>1280.7290940715884</v>
      </c>
      <c r="N127" s="236">
        <f t="shared" si="36"/>
        <v>1345.0191784972965</v>
      </c>
      <c r="O127" s="107"/>
      <c r="P127" s="7"/>
      <c r="Q127" s="7"/>
      <c r="R127" s="7"/>
    </row>
    <row r="128" spans="1:34" ht="14.5">
      <c r="A128" s="9" t="s">
        <v>208</v>
      </c>
      <c r="C128" s="236">
        <f>C20</f>
        <v>281.99622139023364</v>
      </c>
      <c r="D128" s="236">
        <f>D20</f>
        <v>364.72375292714992</v>
      </c>
      <c r="E128" s="236">
        <f t="shared" ref="E128:N128" si="37">E20</f>
        <v>373.62400834914172</v>
      </c>
      <c r="F128" s="236">
        <f t="shared" si="37"/>
        <v>394.96588699130291</v>
      </c>
      <c r="G128" s="236">
        <f t="shared" si="37"/>
        <v>395.9007898304165</v>
      </c>
      <c r="H128" s="236">
        <f t="shared" si="37"/>
        <v>344.70505935167159</v>
      </c>
      <c r="I128" s="236">
        <f t="shared" si="37"/>
        <v>99.846655633414144</v>
      </c>
      <c r="J128" s="236">
        <f t="shared" si="37"/>
        <v>210.55025277356927</v>
      </c>
      <c r="K128" s="236">
        <f t="shared" si="37"/>
        <v>31.489582738125367</v>
      </c>
      <c r="L128" s="236">
        <f t="shared" si="37"/>
        <v>105.46507646833749</v>
      </c>
      <c r="M128" s="236">
        <f t="shared" si="37"/>
        <v>114.72269605496628</v>
      </c>
      <c r="N128" s="236">
        <f t="shared" si="37"/>
        <v>108.26618839774969</v>
      </c>
      <c r="O128" s="107"/>
      <c r="P128" s="7"/>
      <c r="Q128" s="7"/>
      <c r="R128" s="217"/>
    </row>
    <row r="129" spans="1:34" s="13" customFormat="1" ht="14.5">
      <c r="A129" s="364" t="s">
        <v>209</v>
      </c>
      <c r="B129" s="357">
        <f>O20</f>
        <v>2826.2561709060792</v>
      </c>
      <c r="C129" s="365">
        <f>(C125*$B$129) + ((Input!P52-Input!P38)*'P&amp;LY1'!C125)</f>
        <v>179.01278048067437</v>
      </c>
      <c r="D129" s="365">
        <f>(D125*$B$129) + ((Input!P52-Input!P38)*'P&amp;LY1'!D125)</f>
        <v>179.01278048067437</v>
      </c>
      <c r="E129" s="365">
        <f>(E125*$B$129) + ((Input!P52-Input!P38)*'P&amp;LY1'!E125)</f>
        <v>2243.7368685885945</v>
      </c>
      <c r="F129" s="365">
        <f>(F125*$B$129) + ((Input!P52-Input!P38)*'P&amp;LY1'!F125)</f>
        <v>182.15726809096154</v>
      </c>
      <c r="G129" s="365">
        <f>(G125*$B$129) + ((Input!P52-Input!P38)*'P&amp;LY1'!G125)</f>
        <v>179.01278048067437</v>
      </c>
      <c r="H129" s="365">
        <f>(H125*$B$129) + ((Input!P52-Input!P38)*'P&amp;LY1'!H125)</f>
        <v>179.01278048067437</v>
      </c>
      <c r="I129" s="365">
        <f>(I125*$B$129) + ((Input!P52-Input!P38)*'P&amp;LY1'!I125)</f>
        <v>179.01278048067437</v>
      </c>
      <c r="J129" s="365">
        <f>(J125*$B$129) + ((Input!P52-Input!P38)*'P&amp;LY1'!J125)</f>
        <v>179.01278048067437</v>
      </c>
      <c r="K129" s="365">
        <f>(K125*$B$129) + ((Input!P52-Input!P38)*'P&amp;LY1'!K125)</f>
        <v>179.01278048067437</v>
      </c>
      <c r="L129" s="365">
        <f>(L125*$B$129) + ((Input!P52-Input!P38)*'P&amp;LY1'!L125)</f>
        <v>179.01278048067437</v>
      </c>
      <c r="M129" s="365">
        <f>(M125*$B$129) + ((Input!P52-Input!P38)*'P&amp;LY1'!M125)</f>
        <v>179.01278048067437</v>
      </c>
      <c r="N129" s="365">
        <f>(N125*$B$129) + ((Input!P52-Input!P38)*'P&amp;LY1'!N125)</f>
        <v>179.01278048067437</v>
      </c>
      <c r="O129" s="366"/>
      <c r="P129" s="12"/>
      <c r="Q129" s="12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4.5">
      <c r="A130" s="253" t="s">
        <v>210</v>
      </c>
      <c r="B130" s="2"/>
      <c r="C130" s="236">
        <f>C127-C128+C129</f>
        <v>-76.983440909559278</v>
      </c>
      <c r="D130" s="236">
        <f t="shared" ref="D130:N130" si="38">D127-D128+D129</f>
        <v>-262.69441335603483</v>
      </c>
      <c r="E130" s="236">
        <f t="shared" si="38"/>
        <v>1607.4184468834178</v>
      </c>
      <c r="F130" s="236">
        <f t="shared" si="38"/>
        <v>1394.6098279830765</v>
      </c>
      <c r="G130" s="236">
        <f t="shared" si="38"/>
        <v>1177.7218186333344</v>
      </c>
      <c r="H130" s="236">
        <f t="shared" si="38"/>
        <v>1012.0295397623371</v>
      </c>
      <c r="I130" s="236">
        <f t="shared" si="38"/>
        <v>1091.1956646095973</v>
      </c>
      <c r="J130" s="236">
        <f t="shared" si="38"/>
        <v>1059.6581923167025</v>
      </c>
      <c r="K130" s="236">
        <f t="shared" si="38"/>
        <v>1207.1813900592515</v>
      </c>
      <c r="L130" s="236">
        <f t="shared" si="38"/>
        <v>1280.7290940715884</v>
      </c>
      <c r="M130" s="236">
        <f t="shared" si="38"/>
        <v>1345.0191784972965</v>
      </c>
      <c r="N130" s="236">
        <f t="shared" si="38"/>
        <v>1415.7657705802212</v>
      </c>
      <c r="O130" s="31">
        <f>N130</f>
        <v>1415.7657705802212</v>
      </c>
      <c r="P130" s="7"/>
      <c r="Q130" s="7"/>
      <c r="R130" s="7"/>
    </row>
    <row r="131" spans="1:34" s="13" customFormat="1" ht="14.5">
      <c r="A131" s="252"/>
      <c r="B131" s="157"/>
      <c r="C131" s="246"/>
      <c r="D131" s="246"/>
      <c r="E131" s="246"/>
      <c r="F131" s="246"/>
      <c r="G131" s="246"/>
      <c r="H131" s="246"/>
      <c r="I131" s="246"/>
      <c r="J131" s="246"/>
      <c r="K131" s="246"/>
      <c r="L131" s="246"/>
      <c r="M131" s="246"/>
      <c r="N131" s="246"/>
      <c r="O131" s="107"/>
      <c r="P131" s="12"/>
      <c r="Q131" s="12"/>
      <c r="R131" s="2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s="255" customFormat="1" ht="15.5">
      <c r="A132" s="254"/>
      <c r="C132" s="256"/>
      <c r="D132" s="256"/>
      <c r="E132" s="256"/>
      <c r="F132" s="256"/>
      <c r="G132" s="256"/>
      <c r="H132" s="256"/>
      <c r="I132" s="256"/>
      <c r="J132" s="256"/>
      <c r="K132" s="256"/>
      <c r="L132" s="256"/>
      <c r="M132" s="256"/>
      <c r="N132" s="256"/>
      <c r="O132" s="42"/>
      <c r="P132" s="256"/>
      <c r="Q132" s="256"/>
      <c r="R132" s="157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 ht="14.5">
      <c r="A133" s="31"/>
      <c r="C133" s="236"/>
      <c r="D133" s="236"/>
      <c r="E133" s="236"/>
      <c r="F133" s="236"/>
      <c r="G133" s="236"/>
      <c r="H133" s="236"/>
      <c r="I133" s="236"/>
      <c r="J133" s="236"/>
      <c r="K133" s="236"/>
      <c r="L133" s="236"/>
      <c r="M133" s="236"/>
      <c r="N133" s="236"/>
      <c r="O133" s="107"/>
      <c r="P133" s="7"/>
      <c r="Q133" s="7"/>
      <c r="R133" s="2"/>
    </row>
    <row r="134" spans="1:34" ht="14.5">
      <c r="A134" s="239" t="s">
        <v>204</v>
      </c>
      <c r="C134" s="205">
        <f>VLOOKUP(MONTH(C6),Input!$R$37:$X$48,7)</f>
        <v>8.6366573421234605E-2</v>
      </c>
      <c r="D134" s="205">
        <f>VLOOKUP(MONTH(D6),Input!$R$37:$X$48,7)</f>
        <v>6.6569242892847158E-2</v>
      </c>
      <c r="E134" s="205">
        <f>VLOOKUP(MONTH(E6),Input!$R$37:$X$48,7)</f>
        <v>7.107007564416587E-2</v>
      </c>
      <c r="F134" s="205">
        <f>VLOOKUP(MONTH(F6),Input!$R$37:$X$48,7)</f>
        <v>8.7324651535178627E-2</v>
      </c>
      <c r="G134" s="205">
        <f>VLOOKUP(MONTH(G6),Input!$R$37:$X$48,7)</f>
        <v>0.1041771956064088</v>
      </c>
      <c r="H134" s="205">
        <f>VLOOKUP(MONTH(H6),Input!$R$37:$X$48,7)</f>
        <v>7.8583796009938894E-2</v>
      </c>
      <c r="I134" s="205">
        <f>VLOOKUP(MONTH(I6),Input!$R$37:$X$48,7)</f>
        <v>9.0196017733953429E-2</v>
      </c>
      <c r="J134" s="205">
        <f>VLOOKUP(MONTH(J6),Input!$R$37:$X$48,7)</f>
        <v>0.11609599097524102</v>
      </c>
      <c r="K134" s="205">
        <f>VLOOKUP(MONTH(K6),Input!$R$37:$X$48,7)</f>
        <v>6.6705637051546682E-2</v>
      </c>
      <c r="L134" s="205">
        <f>VLOOKUP(MONTH(L6),Input!$R$37:$X$48,7)</f>
        <v>7.2517718603444054E-2</v>
      </c>
      <c r="M134" s="205">
        <f>VLOOKUP(MONTH(M6),Input!$R$37:$X$48,7)</f>
        <v>7.5013655790175854E-2</v>
      </c>
      <c r="N134" s="205">
        <f>VLOOKUP(MONTH(N6),Input!$R$37:$X$48,7)</f>
        <v>8.5379444735864965E-2</v>
      </c>
      <c r="O134" s="107"/>
      <c r="P134" s="217"/>
      <c r="Q134" s="217"/>
      <c r="R134" s="157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1:34" ht="15.5">
      <c r="A135" s="250" t="s">
        <v>211</v>
      </c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107"/>
      <c r="R135" s="42"/>
      <c r="S135" s="255"/>
      <c r="T135" s="255"/>
      <c r="U135" s="255"/>
      <c r="V135" s="255"/>
      <c r="W135" s="255"/>
      <c r="X135" s="255"/>
      <c r="Y135" s="255"/>
      <c r="Z135" s="255"/>
      <c r="AA135" s="255"/>
      <c r="AB135" s="255"/>
      <c r="AC135" s="255"/>
      <c r="AD135" s="255"/>
      <c r="AE135" s="255"/>
      <c r="AF135" s="255"/>
      <c r="AG135" s="255"/>
      <c r="AH135" s="255"/>
    </row>
    <row r="136" spans="1:34" ht="14.5">
      <c r="A136" s="9" t="s">
        <v>212</v>
      </c>
      <c r="C136" s="230">
        <f>Input!P40</f>
        <v>98250</v>
      </c>
      <c r="D136" s="236">
        <f>C139</f>
        <v>110580.50456329802</v>
      </c>
      <c r="E136" s="236">
        <f t="shared" ref="E136:N136" si="39">D139</f>
        <v>108633.04369356006</v>
      </c>
      <c r="F136" s="236">
        <f t="shared" si="39"/>
        <v>102316.52345493277</v>
      </c>
      <c r="G136" s="236">
        <f t="shared" si="39"/>
        <v>105318.87572012973</v>
      </c>
      <c r="H136" s="236">
        <f t="shared" si="39"/>
        <v>115083.83034306728</v>
      </c>
      <c r="I136" s="236">
        <f t="shared" si="39"/>
        <v>110571.37819290356</v>
      </c>
      <c r="J136" s="236">
        <f t="shared" si="39"/>
        <v>117214.64786678761</v>
      </c>
      <c r="K136" s="236">
        <f t="shared" si="39"/>
        <v>112184.58600241081</v>
      </c>
      <c r="L136" s="236">
        <f t="shared" si="39"/>
        <v>106116.7580850643</v>
      </c>
      <c r="M136" s="236">
        <f t="shared" si="39"/>
        <v>102156.42466593557</v>
      </c>
      <c r="N136" s="236">
        <f t="shared" si="39"/>
        <v>101188.60641709011</v>
      </c>
      <c r="O136" s="107"/>
      <c r="P136" s="7"/>
      <c r="Q136" s="7"/>
      <c r="R136" s="157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ht="14.5">
      <c r="A137" s="9" t="s">
        <v>213</v>
      </c>
      <c r="C137" s="107">
        <f t="shared" ref="C137:N137" si="40">C16</f>
        <v>34480.776148103316</v>
      </c>
      <c r="D137" s="107">
        <f t="shared" si="40"/>
        <v>38028.45137753505</v>
      </c>
      <c r="E137" s="107">
        <f t="shared" si="40"/>
        <v>44836.99325697223</v>
      </c>
      <c r="F137" s="107">
        <f t="shared" si="40"/>
        <v>44328.213416751278</v>
      </c>
      <c r="G137" s="107">
        <f t="shared" si="40"/>
        <v>46699.806616034562</v>
      </c>
      <c r="H137" s="107">
        <f t="shared" si="40"/>
        <v>47105.413624357214</v>
      </c>
      <c r="I137" s="107">
        <f t="shared" si="40"/>
        <v>42243.5963663117</v>
      </c>
      <c r="J137" s="107">
        <f t="shared" si="40"/>
        <v>67954.892707256324</v>
      </c>
      <c r="K137" s="107">
        <f t="shared" si="40"/>
        <v>42222.745003417571</v>
      </c>
      <c r="L137" s="107">
        <f t="shared" si="40"/>
        <v>43265.438943456524</v>
      </c>
      <c r="M137" s="107">
        <f t="shared" si="40"/>
        <v>41625.739007792719</v>
      </c>
      <c r="N137" s="107">
        <f t="shared" si="40"/>
        <v>38156.830409159033</v>
      </c>
      <c r="O137" s="107"/>
      <c r="P137" s="2"/>
      <c r="Q137" s="2"/>
      <c r="R137" s="157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 s="13" customFormat="1" ht="14.5">
      <c r="A138" s="364" t="s">
        <v>214</v>
      </c>
      <c r="B138" s="357">
        <f>O16</f>
        <v>530948.89687714749</v>
      </c>
      <c r="C138" s="522">
        <f>($B$138*C134) + ((Input!P54-Input!P40)*'P&amp;LY1'!C134)</f>
        <v>46811.280711401327</v>
      </c>
      <c r="D138" s="357">
        <f>$B$138*D134 + ((Input!P54-Input!P40)*'P&amp;LY1'!D134)</f>
        <v>36080.990507797083</v>
      </c>
      <c r="E138" s="357">
        <f>$B$138*E134 + ((Input!P54-Input!P40)*'P&amp;LY1'!E134)</f>
        <v>38520.473018344943</v>
      </c>
      <c r="F138" s="357">
        <f>$B$138*F134 + ((Input!P54-Input!P40)*'P&amp;LY1'!F134)</f>
        <v>47330.565681948232</v>
      </c>
      <c r="G138" s="357">
        <f>$B$138*G134 + ((Input!P54-Input!P40)*'P&amp;LY1'!G134)</f>
        <v>56464.761238972118</v>
      </c>
      <c r="H138" s="357">
        <f>$B$138*H134 + ((Input!P54-Input!P40)*'P&amp;LY1'!H134)</f>
        <v>42592.961474193493</v>
      </c>
      <c r="I138" s="357">
        <f>$B$138*I134 + ((Input!P54-Input!P40)*'P&amp;LY1'!I134)</f>
        <v>48886.866040195746</v>
      </c>
      <c r="J138" s="357">
        <f>$B$138*J134 + ((Input!P54-Input!P40)*'P&amp;LY1'!J134)</f>
        <v>62924.830842879528</v>
      </c>
      <c r="K138" s="357">
        <f>$B$138*K134 + ((Input!P54-Input!P40)*'P&amp;LY1'!K134)</f>
        <v>36154.917086071051</v>
      </c>
      <c r="L138" s="357">
        <f>$B$138*L134 + ((Input!P54-Input!P40)*'P&amp;LY1'!L134)</f>
        <v>39305.105524327788</v>
      </c>
      <c r="M138" s="357">
        <f>$B$138*M134 + ((Input!P54-Input!P40)*'P&amp;LY1'!M134)</f>
        <v>40657.920758947264</v>
      </c>
      <c r="N138" s="357">
        <f>$B$138*N134 + ((Input!P54-Input!P40)*'P&amp;LY1'!N134)</f>
        <v>46276.250130024186</v>
      </c>
      <c r="O138" s="357"/>
      <c r="P138" s="157"/>
      <c r="Q138" s="157"/>
      <c r="R138" s="157"/>
    </row>
    <row r="139" spans="1:34" ht="14.5">
      <c r="A139" s="253" t="s">
        <v>215</v>
      </c>
      <c r="B139" s="2"/>
      <c r="C139" s="107">
        <f>C136-C137+C138</f>
        <v>110580.50456329802</v>
      </c>
      <c r="D139" s="107">
        <f t="shared" ref="D139:N139" si="41">D136-D137+D138</f>
        <v>108633.04369356006</v>
      </c>
      <c r="E139" s="107">
        <f t="shared" si="41"/>
        <v>102316.52345493277</v>
      </c>
      <c r="F139" s="107">
        <f t="shared" si="41"/>
        <v>105318.87572012973</v>
      </c>
      <c r="G139" s="107">
        <f t="shared" si="41"/>
        <v>115083.83034306728</v>
      </c>
      <c r="H139" s="107">
        <f t="shared" si="41"/>
        <v>110571.37819290356</v>
      </c>
      <c r="I139" s="107">
        <f t="shared" si="41"/>
        <v>117214.64786678761</v>
      </c>
      <c r="J139" s="107">
        <f t="shared" si="41"/>
        <v>112184.58600241081</v>
      </c>
      <c r="K139" s="107">
        <f t="shared" si="41"/>
        <v>106116.7580850643</v>
      </c>
      <c r="L139" s="107">
        <f t="shared" si="41"/>
        <v>102156.42466593557</v>
      </c>
      <c r="M139" s="107">
        <f t="shared" si="41"/>
        <v>101188.60641709011</v>
      </c>
      <c r="N139" s="107">
        <f t="shared" si="41"/>
        <v>109308.02613795525</v>
      </c>
      <c r="O139" s="31">
        <f>N139</f>
        <v>109308.02613795525</v>
      </c>
      <c r="P139" s="2"/>
      <c r="Q139" s="2"/>
      <c r="R139" s="157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 s="13" customFormat="1" ht="14.5">
      <c r="A140" s="252"/>
      <c r="B140" s="157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107"/>
      <c r="P140" s="157"/>
      <c r="Q140" s="15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s="255" customFormat="1" ht="15.5">
      <c r="A141" s="254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s="13" customFormat="1" ht="14.5">
      <c r="A142" s="252"/>
      <c r="B142" s="157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157"/>
      <c r="Q142" s="157"/>
    </row>
    <row r="143" spans="1:34" s="13" customFormat="1" ht="15.5">
      <c r="A143" s="249" t="s">
        <v>216</v>
      </c>
      <c r="B143" s="157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157"/>
      <c r="Q143" s="15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s="13" customFormat="1" ht="14.5">
      <c r="A144" s="231" t="s">
        <v>217</v>
      </c>
      <c r="B144" s="157"/>
      <c r="C144" s="258">
        <f>VLOOKUP(MONTH(C6),Input!$R$81:$T$92,3)</f>
        <v>5</v>
      </c>
      <c r="D144" s="258">
        <f>VLOOKUP(MONTH(D6),Input!$R$81:$T$92,3)</f>
        <v>4</v>
      </c>
      <c r="E144" s="258">
        <f>VLOOKUP(MONTH(E6),Input!$R$81:$T$92,3)</f>
        <v>4</v>
      </c>
      <c r="F144" s="258">
        <f>VLOOKUP(MONTH(F6),Input!$R$81:$T$92,3)</f>
        <v>5</v>
      </c>
      <c r="G144" s="258">
        <f>VLOOKUP(MONTH(G6),Input!$R$81:$T$92,3)</f>
        <v>4</v>
      </c>
      <c r="H144" s="258">
        <f>VLOOKUP(MONTH(H6),Input!$R$81:$T$92,3)</f>
        <v>4</v>
      </c>
      <c r="I144" s="258">
        <f>VLOOKUP(MONTH(I6),Input!$R$81:$T$92,3)</f>
        <v>5</v>
      </c>
      <c r="J144" s="258">
        <f>VLOOKUP(MONTH(J6),Input!$R$81:$T$92,3)</f>
        <v>4</v>
      </c>
      <c r="K144" s="258">
        <f>VLOOKUP(MONTH(K6),Input!$R$81:$T$92,3)</f>
        <v>4</v>
      </c>
      <c r="L144" s="258">
        <f>VLOOKUP(MONTH(L6),Input!$R$81:$T$92,3)</f>
        <v>5</v>
      </c>
      <c r="M144" s="258">
        <f>VLOOKUP(MONTH(M6),Input!$R$81:$T$92,3)</f>
        <v>4</v>
      </c>
      <c r="N144" s="258">
        <f>VLOOKUP(MONTH(N6),Input!$R$81:$T$92,3)</f>
        <v>4</v>
      </c>
      <c r="O144" s="31"/>
      <c r="P144" s="157"/>
      <c r="Q144" s="15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s="13" customFormat="1" ht="14.5">
      <c r="A145" s="252"/>
      <c r="B145" s="157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250" t="s">
        <v>218</v>
      </c>
      <c r="P145" s="157"/>
      <c r="Q145" s="15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4.5">
      <c r="A146" s="37" t="s">
        <v>219</v>
      </c>
      <c r="C146" s="257">
        <f>140*C144</f>
        <v>700</v>
      </c>
      <c r="D146" s="257">
        <f t="shared" ref="D146:N146" si="42">140*D144</f>
        <v>560</v>
      </c>
      <c r="E146" s="257">
        <f t="shared" si="42"/>
        <v>560</v>
      </c>
      <c r="F146" s="257">
        <f t="shared" si="42"/>
        <v>700</v>
      </c>
      <c r="G146" s="257">
        <f t="shared" si="42"/>
        <v>560</v>
      </c>
      <c r="H146" s="257">
        <f t="shared" si="42"/>
        <v>560</v>
      </c>
      <c r="I146" s="257">
        <f t="shared" si="42"/>
        <v>700</v>
      </c>
      <c r="J146" s="257">
        <f t="shared" si="42"/>
        <v>560</v>
      </c>
      <c r="K146" s="257">
        <f t="shared" si="42"/>
        <v>560</v>
      </c>
      <c r="L146" s="257">
        <f t="shared" si="42"/>
        <v>700</v>
      </c>
      <c r="M146" s="257">
        <f t="shared" si="42"/>
        <v>560</v>
      </c>
      <c r="N146" s="257">
        <f t="shared" si="42"/>
        <v>560</v>
      </c>
      <c r="O146" s="258">
        <f>SUM(C146:N146)</f>
        <v>7280</v>
      </c>
    </row>
    <row r="147" spans="1:34" ht="14.5">
      <c r="A147" s="37" t="s">
        <v>220</v>
      </c>
      <c r="C147" s="257" t="e">
        <f>(Input!$T$26+Input!$T$27-$O$146)*C8</f>
        <v>#DIV/0!</v>
      </c>
      <c r="D147" s="257" t="e">
        <f>(Input!$T$26+Input!$T$27-$O$146)*D8</f>
        <v>#DIV/0!</v>
      </c>
      <c r="E147" s="257" t="e">
        <f>(Input!$T$26+Input!$T$27-$O$146)*E8</f>
        <v>#DIV/0!</v>
      </c>
      <c r="F147" s="257" t="e">
        <f>(Input!$T$26+Input!$T$27-$O$146)*F8</f>
        <v>#DIV/0!</v>
      </c>
      <c r="G147" s="257" t="e">
        <f>(Input!$T$26+Input!$T$27-$O$146)*G8</f>
        <v>#DIV/0!</v>
      </c>
      <c r="H147" s="257" t="e">
        <f>(Input!$T$26+Input!$T$27-$O$146)*H8</f>
        <v>#DIV/0!</v>
      </c>
      <c r="I147" s="257" t="e">
        <f>(Input!$T$26+Input!$T$27-$O$146)*I8</f>
        <v>#DIV/0!</v>
      </c>
      <c r="J147" s="257" t="e">
        <f>(Input!$T$26+Input!$T$27-$O$146)*J8</f>
        <v>#DIV/0!</v>
      </c>
      <c r="K147" s="257" t="e">
        <f>(Input!$T$26+Input!$T$27-$O$146)*K8</f>
        <v>#DIV/0!</v>
      </c>
      <c r="L147" s="257" t="e">
        <f>(Input!$T$26+Input!$T$27-$O$146)*L8</f>
        <v>#DIV/0!</v>
      </c>
      <c r="M147" s="257" t="e">
        <f>(Input!$T$26+Input!$T$27-$O$146)*M8</f>
        <v>#DIV/0!</v>
      </c>
      <c r="N147" s="257" t="e">
        <f>(Input!$T$26+Input!$T$27-$O$146)*N8</f>
        <v>#DIV/0!</v>
      </c>
      <c r="O147" s="258" t="e">
        <f>SUM(C147:N147)</f>
        <v>#DIV/0!</v>
      </c>
    </row>
    <row r="148" spans="1:34" s="13" customFormat="1" ht="14.5">
      <c r="A148" s="367" t="s">
        <v>221</v>
      </c>
      <c r="B148" s="368"/>
      <c r="C148" s="369" t="e">
        <f>SUM(C146:C147)</f>
        <v>#DIV/0!</v>
      </c>
      <c r="D148" s="369" t="e">
        <f t="shared" ref="D148:N148" si="43">SUM(D146:D147)</f>
        <v>#DIV/0!</v>
      </c>
      <c r="E148" s="369" t="e">
        <f t="shared" si="43"/>
        <v>#DIV/0!</v>
      </c>
      <c r="F148" s="369" t="e">
        <f t="shared" si="43"/>
        <v>#DIV/0!</v>
      </c>
      <c r="G148" s="369" t="e">
        <f t="shared" si="43"/>
        <v>#DIV/0!</v>
      </c>
      <c r="H148" s="369" t="e">
        <f t="shared" si="43"/>
        <v>#DIV/0!</v>
      </c>
      <c r="I148" s="369" t="e">
        <f t="shared" si="43"/>
        <v>#DIV/0!</v>
      </c>
      <c r="J148" s="369" t="e">
        <f t="shared" si="43"/>
        <v>#DIV/0!</v>
      </c>
      <c r="K148" s="369" t="e">
        <f t="shared" si="43"/>
        <v>#DIV/0!</v>
      </c>
      <c r="L148" s="369" t="e">
        <f t="shared" si="43"/>
        <v>#DIV/0!</v>
      </c>
      <c r="M148" s="369" t="e">
        <f t="shared" si="43"/>
        <v>#DIV/0!</v>
      </c>
      <c r="N148" s="369" t="e">
        <f t="shared" si="43"/>
        <v>#DIV/0!</v>
      </c>
      <c r="O148" s="369" t="e">
        <f>SUM(C148:N148)</f>
        <v>#DIV/0!</v>
      </c>
      <c r="R148" s="7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4.5">
      <c r="C149" s="25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R149" s="2"/>
    </row>
    <row r="150" spans="1:34" ht="14.5">
      <c r="C150" s="257"/>
      <c r="D150" s="257"/>
      <c r="E150" s="257"/>
      <c r="F150" s="257"/>
      <c r="G150" s="257"/>
      <c r="H150" s="257"/>
      <c r="I150" s="257"/>
      <c r="J150" s="257"/>
      <c r="K150" s="257"/>
      <c r="L150" s="257"/>
      <c r="M150" s="257"/>
      <c r="N150" s="257"/>
      <c r="O150" s="37"/>
      <c r="R150" s="2"/>
    </row>
  </sheetData>
  <sheetProtection sheet="1" objects="1" scenarios="1" selectLockedCells="1"/>
  <mergeCells count="1">
    <mergeCell ref="P72:Q72"/>
  </mergeCells>
  <phoneticPr fontId="2" type="noConversion"/>
  <conditionalFormatting sqref="C1:O1048576">
    <cfRule type="cellIs" dxfId="2" priority="1" operator="lessThan">
      <formula>0</formula>
    </cfRule>
  </conditionalFormatting>
  <pageMargins left="0.75" right="0.75" top="1" bottom="1" header="0.5" footer="0.5"/>
  <pageSetup scale="40" fitToHeight="2" orientation="landscape" r:id="rId1"/>
  <headerFooter alignWithMargins="0">
    <oddHeader>&amp;C&amp;18&amp;A</oddHeader>
    <oddFooter>&amp;L&amp;14&amp;D&amp;C&amp;14&amp;F&amp;R&amp;14&amp;P</oddFooter>
  </headerFooter>
  <rowBreaks count="1" manualBreakCount="1">
    <brk id="6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87"/>
  <sheetViews>
    <sheetView zoomScaleNormal="100" workbookViewId="0">
      <selection activeCell="C25" sqref="C25"/>
    </sheetView>
  </sheetViews>
  <sheetFormatPr defaultColWidth="9.1796875" defaultRowHeight="18.5"/>
  <cols>
    <col min="1" max="1" width="25.7265625" style="1" customWidth="1"/>
    <col min="2" max="2" width="32.1796875" style="272" customWidth="1"/>
    <col min="3" max="3" width="19" style="272" customWidth="1"/>
    <col min="4" max="4" width="14.7265625" style="272" customWidth="1"/>
    <col min="5" max="5" width="13.26953125" style="272" customWidth="1"/>
    <col min="6" max="6" width="19.54296875" style="272" bestFit="1" customWidth="1"/>
    <col min="7" max="8" width="12.54296875" style="272" customWidth="1"/>
    <col min="9" max="9" width="12.7265625" style="272" customWidth="1"/>
    <col min="10" max="14" width="19.54296875" style="272" bestFit="1" customWidth="1"/>
    <col min="15" max="15" width="18.26953125" style="272" customWidth="1"/>
    <col min="16" max="16384" width="9.1796875" style="1"/>
  </cols>
  <sheetData>
    <row r="2" spans="1:15">
      <c r="A2" s="559" t="s">
        <v>222</v>
      </c>
      <c r="B2" s="116" t="s">
        <v>223</v>
      </c>
      <c r="C2" s="259">
        <f>'P&amp;LY1'!C6</f>
        <v>44561</v>
      </c>
      <c r="D2" s="259">
        <f>'P&amp;LY1'!D6</f>
        <v>44592</v>
      </c>
      <c r="E2" s="259">
        <f>'P&amp;LY1'!E6</f>
        <v>44620</v>
      </c>
      <c r="F2" s="259">
        <f>'P&amp;LY1'!F6</f>
        <v>44651</v>
      </c>
      <c r="G2" s="259">
        <f>'P&amp;LY1'!G6</f>
        <v>44681</v>
      </c>
      <c r="H2" s="259">
        <f>'P&amp;LY1'!H6</f>
        <v>44712</v>
      </c>
      <c r="I2" s="259">
        <f>'P&amp;LY1'!I6</f>
        <v>44742</v>
      </c>
      <c r="J2" s="259">
        <f>'P&amp;LY1'!J6</f>
        <v>44773</v>
      </c>
      <c r="K2" s="259">
        <f>'P&amp;LY1'!K6</f>
        <v>44804</v>
      </c>
      <c r="L2" s="259">
        <f>'P&amp;LY1'!L6</f>
        <v>44834</v>
      </c>
      <c r="M2" s="259">
        <f>'P&amp;LY1'!M6</f>
        <v>44865</v>
      </c>
      <c r="N2" s="259">
        <f>'P&amp;LY1'!N6</f>
        <v>44895</v>
      </c>
      <c r="O2" s="260" t="s">
        <v>44</v>
      </c>
    </row>
    <row r="3" spans="1:15" s="13" customFormat="1">
      <c r="A3" s="559"/>
      <c r="B3" s="261" t="s">
        <v>224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</row>
    <row r="4" spans="1:15" s="13" customFormat="1" ht="24.75" customHeight="1">
      <c r="A4" s="559"/>
      <c r="B4" s="262" t="s">
        <v>8</v>
      </c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4">
        <f>SUM(C4:N4)</f>
        <v>0</v>
      </c>
    </row>
    <row r="5" spans="1:15" s="13" customFormat="1" ht="24.75" customHeight="1">
      <c r="A5" s="559"/>
      <c r="B5" s="262" t="s">
        <v>225</v>
      </c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4">
        <f>SUM(C5:N5)</f>
        <v>0</v>
      </c>
    </row>
    <row r="6" spans="1:15" s="13" customFormat="1" ht="28.5" customHeight="1">
      <c r="A6" s="559"/>
      <c r="B6" s="265" t="s">
        <v>150</v>
      </c>
      <c r="C6" s="266">
        <f>SUM(C4:C5)</f>
        <v>0</v>
      </c>
      <c r="D6" s="266">
        <f t="shared" ref="D6:N6" si="0">SUM(D4:D5)</f>
        <v>0</v>
      </c>
      <c r="E6" s="266">
        <f t="shared" si="0"/>
        <v>0</v>
      </c>
      <c r="F6" s="266">
        <f t="shared" si="0"/>
        <v>0</v>
      </c>
      <c r="G6" s="266">
        <f t="shared" si="0"/>
        <v>0</v>
      </c>
      <c r="H6" s="266">
        <f t="shared" si="0"/>
        <v>0</v>
      </c>
      <c r="I6" s="266">
        <f t="shared" si="0"/>
        <v>0</v>
      </c>
      <c r="J6" s="266">
        <f t="shared" si="0"/>
        <v>0</v>
      </c>
      <c r="K6" s="266">
        <f t="shared" si="0"/>
        <v>0</v>
      </c>
      <c r="L6" s="266">
        <f t="shared" si="0"/>
        <v>0</v>
      </c>
      <c r="M6" s="266">
        <f t="shared" si="0"/>
        <v>0</v>
      </c>
      <c r="N6" s="266">
        <f t="shared" si="0"/>
        <v>0</v>
      </c>
      <c r="O6" s="266">
        <f>SUM(O4:O5)</f>
        <v>0</v>
      </c>
    </row>
    <row r="7" spans="1:15" s="13" customFormat="1">
      <c r="A7" s="559"/>
      <c r="B7" s="261" t="s">
        <v>226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</row>
    <row r="8" spans="1:15" s="13" customFormat="1">
      <c r="A8" s="559"/>
      <c r="B8" s="262" t="s">
        <v>227</v>
      </c>
      <c r="C8" s="263"/>
      <c r="D8" s="263"/>
      <c r="E8" s="263"/>
      <c r="F8" s="263"/>
      <c r="G8" s="263"/>
      <c r="H8" s="263"/>
      <c r="I8" s="263"/>
      <c r="J8" s="263"/>
      <c r="K8" s="263"/>
      <c r="L8" s="263"/>
      <c r="M8" s="263"/>
      <c r="N8" s="263"/>
      <c r="O8" s="264">
        <f>SUM(C8:N8)</f>
        <v>0</v>
      </c>
    </row>
    <row r="9" spans="1:15" s="13" customFormat="1">
      <c r="A9" s="559"/>
      <c r="B9" s="262" t="s">
        <v>228</v>
      </c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4">
        <f>SUM(C9:N9)</f>
        <v>0</v>
      </c>
    </row>
    <row r="10" spans="1:15" s="13" customFormat="1">
      <c r="A10" s="559"/>
      <c r="B10" s="261"/>
      <c r="C10" s="266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1"/>
    </row>
    <row r="11" spans="1:15" s="13" customFormat="1">
      <c r="A11" s="559"/>
      <c r="B11" s="261" t="s">
        <v>229</v>
      </c>
      <c r="C11" s="266">
        <f>C6-SUM(C8:C9)</f>
        <v>0</v>
      </c>
      <c r="D11" s="266">
        <f t="shared" ref="D11:N11" si="1">D6-SUM(D8:D9)</f>
        <v>0</v>
      </c>
      <c r="E11" s="266">
        <f t="shared" si="1"/>
        <v>0</v>
      </c>
      <c r="F11" s="266">
        <f t="shared" si="1"/>
        <v>0</v>
      </c>
      <c r="G11" s="266">
        <f t="shared" si="1"/>
        <v>0</v>
      </c>
      <c r="H11" s="266">
        <f t="shared" si="1"/>
        <v>0</v>
      </c>
      <c r="I11" s="266">
        <f t="shared" si="1"/>
        <v>0</v>
      </c>
      <c r="J11" s="266">
        <f t="shared" si="1"/>
        <v>0</v>
      </c>
      <c r="K11" s="266">
        <f t="shared" si="1"/>
        <v>0</v>
      </c>
      <c r="L11" s="266">
        <f t="shared" si="1"/>
        <v>0</v>
      </c>
      <c r="M11" s="266">
        <f t="shared" si="1"/>
        <v>0</v>
      </c>
      <c r="N11" s="266">
        <f t="shared" si="1"/>
        <v>0</v>
      </c>
      <c r="O11" s="266">
        <f>O6-SUM(O8:O9)</f>
        <v>0</v>
      </c>
    </row>
    <row r="12" spans="1:15" s="13" customFormat="1">
      <c r="A12" s="559"/>
      <c r="B12" s="261" t="s">
        <v>230</v>
      </c>
      <c r="C12" s="267" t="e">
        <f>C11/C6</f>
        <v>#DIV/0!</v>
      </c>
      <c r="D12" s="267" t="e">
        <f t="shared" ref="D12:N12" si="2">D11/D6</f>
        <v>#DIV/0!</v>
      </c>
      <c r="E12" s="267" t="e">
        <f t="shared" si="2"/>
        <v>#DIV/0!</v>
      </c>
      <c r="F12" s="267" t="e">
        <f t="shared" si="2"/>
        <v>#DIV/0!</v>
      </c>
      <c r="G12" s="267" t="e">
        <f t="shared" si="2"/>
        <v>#DIV/0!</v>
      </c>
      <c r="H12" s="267" t="e">
        <f t="shared" si="2"/>
        <v>#DIV/0!</v>
      </c>
      <c r="I12" s="267" t="e">
        <f t="shared" si="2"/>
        <v>#DIV/0!</v>
      </c>
      <c r="J12" s="267" t="e">
        <f t="shared" si="2"/>
        <v>#DIV/0!</v>
      </c>
      <c r="K12" s="267" t="e">
        <f t="shared" si="2"/>
        <v>#DIV/0!</v>
      </c>
      <c r="L12" s="267" t="e">
        <f t="shared" si="2"/>
        <v>#DIV/0!</v>
      </c>
      <c r="M12" s="267" t="e">
        <f t="shared" si="2"/>
        <v>#DIV/0!</v>
      </c>
      <c r="N12" s="267" t="e">
        <f t="shared" si="2"/>
        <v>#DIV/0!</v>
      </c>
      <c r="O12" s="267" t="e">
        <f>O11/O6</f>
        <v>#DIV/0!</v>
      </c>
    </row>
    <row r="13" spans="1:15" s="13" customFormat="1">
      <c r="A13" s="559"/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</row>
    <row r="14" spans="1:15" s="13" customFormat="1" ht="25.5" customHeight="1">
      <c r="A14" s="559"/>
      <c r="B14" s="268" t="s">
        <v>231</v>
      </c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1"/>
    </row>
    <row r="15" spans="1:15" s="13" customFormat="1">
      <c r="A15" s="559"/>
      <c r="B15" s="261"/>
      <c r="C15" s="266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</row>
    <row r="16" spans="1:15" s="13" customFormat="1" ht="27.75" customHeight="1">
      <c r="A16" s="559"/>
      <c r="B16" s="268" t="s">
        <v>232</v>
      </c>
      <c r="C16" s="263"/>
      <c r="D16" s="263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1"/>
    </row>
    <row r="17" spans="1:15" s="13" customFormat="1" ht="30.75" customHeight="1">
      <c r="A17" s="559"/>
      <c r="B17" s="261"/>
      <c r="C17" s="261" t="s">
        <v>147</v>
      </c>
      <c r="D17" s="261"/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O17" s="261"/>
    </row>
    <row r="18" spans="1:15" s="13" customFormat="1">
      <c r="A18" s="559"/>
      <c r="B18" s="261" t="s">
        <v>233</v>
      </c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</row>
    <row r="19" spans="1:15" s="13" customFormat="1">
      <c r="A19" s="559"/>
      <c r="B19" s="262" t="s">
        <v>234</v>
      </c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1"/>
    </row>
    <row r="20" spans="1:15" s="13" customFormat="1">
      <c r="A20" s="559"/>
      <c r="B20" s="262" t="s">
        <v>235</v>
      </c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1"/>
    </row>
    <row r="21" spans="1:15" s="13" customFormat="1">
      <c r="A21" s="559"/>
      <c r="B21" s="261"/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1"/>
    </row>
    <row r="22" spans="1:15" s="13" customFormat="1">
      <c r="A22" s="559"/>
      <c r="B22" s="268" t="s">
        <v>236</v>
      </c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1"/>
    </row>
    <row r="23" spans="1:15" s="13" customFormat="1">
      <c r="B23" s="261"/>
      <c r="C23" s="261"/>
      <c r="D23" s="261"/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O23" s="261"/>
    </row>
    <row r="24" spans="1:15" s="269" customFormat="1">
      <c r="B24" s="270" t="s">
        <v>237</v>
      </c>
      <c r="C24" s="271"/>
    </row>
    <row r="25" spans="1:15" s="272" customFormat="1">
      <c r="B25" s="260" t="s">
        <v>238</v>
      </c>
      <c r="C25" s="273">
        <f>C2</f>
        <v>44561</v>
      </c>
      <c r="D25" s="273">
        <f t="shared" ref="D25:N25" si="3">D2</f>
        <v>44592</v>
      </c>
      <c r="E25" s="273">
        <f t="shared" si="3"/>
        <v>44620</v>
      </c>
      <c r="F25" s="273">
        <f t="shared" si="3"/>
        <v>44651</v>
      </c>
      <c r="G25" s="273">
        <f t="shared" si="3"/>
        <v>44681</v>
      </c>
      <c r="H25" s="273">
        <f t="shared" si="3"/>
        <v>44712</v>
      </c>
      <c r="I25" s="273">
        <f t="shared" si="3"/>
        <v>44742</v>
      </c>
      <c r="J25" s="273">
        <f t="shared" si="3"/>
        <v>44773</v>
      </c>
      <c r="K25" s="273">
        <f t="shared" si="3"/>
        <v>44804</v>
      </c>
      <c r="L25" s="273">
        <f t="shared" si="3"/>
        <v>44834</v>
      </c>
      <c r="M25" s="273">
        <f t="shared" si="3"/>
        <v>44865</v>
      </c>
      <c r="N25" s="273">
        <f t="shared" si="3"/>
        <v>44895</v>
      </c>
    </row>
    <row r="26" spans="1:15" s="272" customFormat="1">
      <c r="A26" s="265" t="s">
        <v>8</v>
      </c>
      <c r="B26" s="274" t="s">
        <v>239</v>
      </c>
      <c r="C26" s="266" t="str">
        <f t="shared" ref="C26:O26" si="4">IF(C4&gt;0,C4-C69,"")</f>
        <v/>
      </c>
      <c r="D26" s="266" t="str">
        <f t="shared" si="4"/>
        <v/>
      </c>
      <c r="E26" s="266" t="str">
        <f t="shared" si="4"/>
        <v/>
      </c>
      <c r="F26" s="266" t="str">
        <f t="shared" si="4"/>
        <v/>
      </c>
      <c r="G26" s="266" t="str">
        <f t="shared" si="4"/>
        <v/>
      </c>
      <c r="H26" s="266" t="str">
        <f t="shared" si="4"/>
        <v/>
      </c>
      <c r="I26" s="266" t="str">
        <f t="shared" si="4"/>
        <v/>
      </c>
      <c r="J26" s="266" t="str">
        <f t="shared" si="4"/>
        <v/>
      </c>
      <c r="K26" s="266" t="str">
        <f t="shared" si="4"/>
        <v/>
      </c>
      <c r="L26" s="266" t="str">
        <f t="shared" si="4"/>
        <v/>
      </c>
      <c r="M26" s="266" t="str">
        <f t="shared" si="4"/>
        <v/>
      </c>
      <c r="N26" s="266" t="str">
        <f t="shared" si="4"/>
        <v/>
      </c>
      <c r="O26" s="266" t="str">
        <f t="shared" si="4"/>
        <v/>
      </c>
    </row>
    <row r="27" spans="1:15" s="272" customFormat="1">
      <c r="B27" s="274" t="s">
        <v>240</v>
      </c>
      <c r="C27" s="267" t="str">
        <f t="shared" ref="C27:O27" si="5">IF(C4&gt;0,C26/C69,"")</f>
        <v/>
      </c>
      <c r="D27" s="267" t="str">
        <f t="shared" si="5"/>
        <v/>
      </c>
      <c r="E27" s="267" t="str">
        <f t="shared" si="5"/>
        <v/>
      </c>
      <c r="F27" s="267" t="str">
        <f t="shared" si="5"/>
        <v/>
      </c>
      <c r="G27" s="267" t="str">
        <f t="shared" si="5"/>
        <v/>
      </c>
      <c r="H27" s="267" t="str">
        <f t="shared" si="5"/>
        <v/>
      </c>
      <c r="I27" s="267" t="str">
        <f t="shared" si="5"/>
        <v/>
      </c>
      <c r="J27" s="267" t="str">
        <f t="shared" si="5"/>
        <v/>
      </c>
      <c r="K27" s="267" t="str">
        <f t="shared" si="5"/>
        <v/>
      </c>
      <c r="L27" s="267" t="str">
        <f t="shared" si="5"/>
        <v/>
      </c>
      <c r="M27" s="267" t="str">
        <f t="shared" si="5"/>
        <v/>
      </c>
      <c r="N27" s="267" t="str">
        <f t="shared" si="5"/>
        <v/>
      </c>
      <c r="O27" s="267" t="str">
        <f t="shared" si="5"/>
        <v/>
      </c>
    </row>
    <row r="28" spans="1:15" s="272" customFormat="1">
      <c r="B28" s="274" t="s">
        <v>241</v>
      </c>
      <c r="C28" s="266" t="str">
        <f>IF(C4&gt;0,SUM($C4:C4)-SUM($C69:C69),"")</f>
        <v/>
      </c>
      <c r="D28" s="266" t="str">
        <f>IF(D4&gt;0,SUM($C4:D4)-SUM($C69:D69),"")</f>
        <v/>
      </c>
      <c r="E28" s="266" t="str">
        <f>IF(E4&gt;0,SUM($C4:E4)-SUM($C69:E69),"")</f>
        <v/>
      </c>
      <c r="F28" s="266" t="str">
        <f>IF(F4&gt;0,SUM($C4:F4)-SUM($C69:F69),"")</f>
        <v/>
      </c>
      <c r="G28" s="266" t="str">
        <f>IF(G4&gt;0,SUM($C4:G4)-SUM($C69:G69),"")</f>
        <v/>
      </c>
      <c r="H28" s="266" t="str">
        <f>IF(H4&gt;0,SUM($C4:H4)-SUM($C69:H69),"")</f>
        <v/>
      </c>
      <c r="I28" s="266" t="str">
        <f>IF(I4&gt;0,SUM($C4:I4)-SUM($C69:I69),"")</f>
        <v/>
      </c>
      <c r="J28" s="266" t="str">
        <f>IF(J4&gt;0,SUM($C4:J4)-SUM($C69:J69),"")</f>
        <v/>
      </c>
      <c r="K28" s="266" t="str">
        <f>IF(K4&gt;0,SUM($C4:K4)-SUM($C69:K69),"")</f>
        <v/>
      </c>
      <c r="L28" s="266" t="str">
        <f>IF(L4&gt;0,SUM($C4:L4)-SUM($C69:L69),"")</f>
        <v/>
      </c>
      <c r="M28" s="266" t="str">
        <f>IF(M4&gt;0,SUM($C4:M4)-SUM($C69:M69),"")</f>
        <v/>
      </c>
      <c r="N28" s="266" t="str">
        <f>IF(N4&gt;0,SUM($C4:N4)-SUM($C69:N69),"")</f>
        <v/>
      </c>
      <c r="O28" s="275"/>
    </row>
    <row r="29" spans="1:15" s="272" customFormat="1">
      <c r="B29" s="274" t="s">
        <v>242</v>
      </c>
      <c r="C29" s="267" t="str">
        <f>IF(C4&gt;0,C28/SUM($C69:C69),"")</f>
        <v/>
      </c>
      <c r="D29" s="267" t="str">
        <f>IF(D4&gt;0,D28/SUM($C69:D69),"")</f>
        <v/>
      </c>
      <c r="E29" s="267" t="str">
        <f>IF(E4&gt;0,E28/SUM($C69:E69),"")</f>
        <v/>
      </c>
      <c r="F29" s="267" t="str">
        <f>IF(F4&gt;0,F28/SUM($C69:F69),"")</f>
        <v/>
      </c>
      <c r="G29" s="267" t="str">
        <f>IF(G4&gt;0,G28/SUM($C69:G69),"")</f>
        <v/>
      </c>
      <c r="H29" s="267" t="str">
        <f>IF(H4&gt;0,H28/SUM($C69:H69),"")</f>
        <v/>
      </c>
      <c r="I29" s="267" t="str">
        <f>IF(I4&gt;0,I28/SUM($C69:I69),"")</f>
        <v/>
      </c>
      <c r="J29" s="267" t="str">
        <f>IF(J4&gt;0,J28/SUM($C69:J69),"")</f>
        <v/>
      </c>
      <c r="K29" s="267" t="str">
        <f>IF(K4&gt;0,K28/SUM($C69:K69),"")</f>
        <v/>
      </c>
      <c r="L29" s="267" t="str">
        <f>IF(L4&gt;0,L28/SUM($C69:L69),"")</f>
        <v/>
      </c>
      <c r="M29" s="267" t="str">
        <f>IF(M4&gt;0,M28/SUM($C69:M69),"")</f>
        <v/>
      </c>
      <c r="N29" s="267" t="str">
        <f>IF(N4&gt;0,N28/SUM($C69:N69),"")</f>
        <v/>
      </c>
      <c r="O29" s="276"/>
    </row>
    <row r="30" spans="1:15" s="272" customFormat="1">
      <c r="C30" s="261"/>
      <c r="D30" s="261"/>
      <c r="E30" s="261"/>
      <c r="F30" s="261"/>
      <c r="G30" s="261"/>
      <c r="H30" s="261"/>
      <c r="I30" s="261"/>
      <c r="J30" s="261"/>
      <c r="K30" s="261"/>
      <c r="L30" s="261"/>
      <c r="M30" s="261"/>
      <c r="N30" s="261"/>
    </row>
    <row r="31" spans="1:15" s="272" customFormat="1">
      <c r="A31" s="265" t="s">
        <v>225</v>
      </c>
      <c r="B31" s="274" t="s">
        <v>239</v>
      </c>
      <c r="C31" s="266" t="str">
        <f t="shared" ref="C31:O31" si="6">IF(C5&gt;0,C5-C70,"")</f>
        <v/>
      </c>
      <c r="D31" s="266" t="str">
        <f t="shared" si="6"/>
        <v/>
      </c>
      <c r="E31" s="266" t="str">
        <f t="shared" si="6"/>
        <v/>
      </c>
      <c r="F31" s="266" t="str">
        <f t="shared" si="6"/>
        <v/>
      </c>
      <c r="G31" s="266" t="str">
        <f t="shared" si="6"/>
        <v/>
      </c>
      <c r="H31" s="266" t="str">
        <f t="shared" si="6"/>
        <v/>
      </c>
      <c r="I31" s="266" t="str">
        <f t="shared" si="6"/>
        <v/>
      </c>
      <c r="J31" s="266" t="str">
        <f t="shared" si="6"/>
        <v/>
      </c>
      <c r="K31" s="266" t="str">
        <f t="shared" si="6"/>
        <v/>
      </c>
      <c r="L31" s="266" t="str">
        <f t="shared" si="6"/>
        <v/>
      </c>
      <c r="M31" s="266" t="str">
        <f t="shared" si="6"/>
        <v/>
      </c>
      <c r="N31" s="266" t="str">
        <f t="shared" si="6"/>
        <v/>
      </c>
      <c r="O31" s="266" t="str">
        <f t="shared" si="6"/>
        <v/>
      </c>
    </row>
    <row r="32" spans="1:15" s="272" customFormat="1">
      <c r="B32" s="274" t="s">
        <v>240</v>
      </c>
      <c r="C32" s="267" t="str">
        <f t="shared" ref="C32:O32" si="7">IF(C5&gt;0,C31/C70,"")</f>
        <v/>
      </c>
      <c r="D32" s="267" t="str">
        <f t="shared" si="7"/>
        <v/>
      </c>
      <c r="E32" s="267" t="str">
        <f t="shared" si="7"/>
        <v/>
      </c>
      <c r="F32" s="267" t="str">
        <f t="shared" si="7"/>
        <v/>
      </c>
      <c r="G32" s="267" t="str">
        <f t="shared" si="7"/>
        <v/>
      </c>
      <c r="H32" s="267" t="str">
        <f t="shared" si="7"/>
        <v/>
      </c>
      <c r="I32" s="267" t="str">
        <f t="shared" si="7"/>
        <v/>
      </c>
      <c r="J32" s="267" t="str">
        <f t="shared" si="7"/>
        <v/>
      </c>
      <c r="K32" s="267" t="str">
        <f t="shared" si="7"/>
        <v/>
      </c>
      <c r="L32" s="267" t="str">
        <f t="shared" si="7"/>
        <v/>
      </c>
      <c r="M32" s="267" t="str">
        <f t="shared" si="7"/>
        <v/>
      </c>
      <c r="N32" s="267" t="str">
        <f t="shared" si="7"/>
        <v/>
      </c>
      <c r="O32" s="267" t="str">
        <f t="shared" si="7"/>
        <v/>
      </c>
    </row>
    <row r="33" spans="1:15" s="272" customFormat="1">
      <c r="B33" s="274" t="s">
        <v>241</v>
      </c>
      <c r="C33" s="266" t="str">
        <f>IF(C5&gt;0,SUM($C5:C5)-SUM($C70:C70),"")</f>
        <v/>
      </c>
      <c r="D33" s="266" t="str">
        <f>IF(D5&gt;0,SUM($C5:D5)-SUM($C70:D70),"")</f>
        <v/>
      </c>
      <c r="E33" s="266" t="str">
        <f>IF(E5&gt;0,SUM($C5:E5)-SUM($C70:E70),"")</f>
        <v/>
      </c>
      <c r="F33" s="266" t="str">
        <f>IF(F5&gt;0,SUM($C5:F5)-SUM($C70:F70),"")</f>
        <v/>
      </c>
      <c r="G33" s="266" t="str">
        <f>IF(G5&gt;0,SUM($C5:G5)-SUM($C70:G70),"")</f>
        <v/>
      </c>
      <c r="H33" s="266" t="str">
        <f>IF(H5&gt;0,SUM($C5:H5)-SUM($C70:H70),"")</f>
        <v/>
      </c>
      <c r="I33" s="266" t="str">
        <f>IF(I5&gt;0,SUM($C5:I5)-SUM($C70:I70),"")</f>
        <v/>
      </c>
      <c r="J33" s="266" t="str">
        <f>IF(J5&gt;0,SUM($C5:J5)-SUM($C70:J70),"")</f>
        <v/>
      </c>
      <c r="K33" s="266" t="str">
        <f>IF(K5&gt;0,SUM($C5:K5)-SUM($C70:K70),"")</f>
        <v/>
      </c>
      <c r="L33" s="266" t="str">
        <f>IF(L5&gt;0,SUM($C5:L5)-SUM($C70:L70),"")</f>
        <v/>
      </c>
      <c r="M33" s="266" t="str">
        <f>IF(M5&gt;0,SUM($C5:M5)-SUM($C70:M70),"")</f>
        <v/>
      </c>
      <c r="N33" s="266" t="str">
        <f>IF(N5&gt;0,SUM($C5:N5)-SUM($C70:N70),"")</f>
        <v/>
      </c>
    </row>
    <row r="34" spans="1:15" s="272" customFormat="1">
      <c r="B34" s="274" t="s">
        <v>242</v>
      </c>
      <c r="C34" s="267" t="str">
        <f>IF(C5&gt;0,C33/SUM($C70:C70),"")</f>
        <v/>
      </c>
      <c r="D34" s="267" t="str">
        <f>IF(D5&gt;0,D33/SUM($C70:D70),"")</f>
        <v/>
      </c>
      <c r="E34" s="267" t="str">
        <f>IF(E5&gt;0,E33/SUM($C70:E70),"")</f>
        <v/>
      </c>
      <c r="F34" s="267" t="str">
        <f>IF(F5&gt;0,F33/SUM($C70:F70),"")</f>
        <v/>
      </c>
      <c r="G34" s="267" t="str">
        <f>IF(G5&gt;0,G33/SUM($C70:G70),"")</f>
        <v/>
      </c>
      <c r="H34" s="267" t="str">
        <f>IF(H5&gt;0,H33/SUM($C70:H70),"")</f>
        <v/>
      </c>
      <c r="I34" s="267" t="str">
        <f>IF(I5&gt;0,I33/SUM($C70:I70),"")</f>
        <v/>
      </c>
      <c r="J34" s="267" t="str">
        <f>IF(J5&gt;0,J33/SUM($C70:J70),"")</f>
        <v/>
      </c>
      <c r="K34" s="267" t="str">
        <f>IF(K5&gt;0,K33/SUM($C70:K70),"")</f>
        <v/>
      </c>
      <c r="L34" s="267" t="str">
        <f>IF(L5&gt;0,L33/SUM($C70:L70),"")</f>
        <v/>
      </c>
      <c r="M34" s="267" t="str">
        <f>IF(M5&gt;0,M33/SUM($C70:M70),"")</f>
        <v/>
      </c>
      <c r="N34" s="267" t="str">
        <f>IF(N5&gt;0,N33/SUM($C70:N70),"")</f>
        <v/>
      </c>
    </row>
    <row r="35" spans="1:15" s="272" customFormat="1"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</row>
    <row r="36" spans="1:15" s="272" customFormat="1">
      <c r="A36" s="265" t="s">
        <v>150</v>
      </c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</row>
    <row r="37" spans="1:15" s="272" customFormat="1">
      <c r="B37" s="274" t="s">
        <v>239</v>
      </c>
      <c r="C37" s="266" t="str">
        <f t="shared" ref="C37:O37" si="8">IF(C6&gt;0,C6-C71,"")</f>
        <v/>
      </c>
      <c r="D37" s="266" t="str">
        <f t="shared" si="8"/>
        <v/>
      </c>
      <c r="E37" s="266" t="str">
        <f t="shared" si="8"/>
        <v/>
      </c>
      <c r="F37" s="266" t="str">
        <f t="shared" si="8"/>
        <v/>
      </c>
      <c r="G37" s="266" t="str">
        <f t="shared" si="8"/>
        <v/>
      </c>
      <c r="H37" s="266" t="str">
        <f t="shared" si="8"/>
        <v/>
      </c>
      <c r="I37" s="266" t="str">
        <f t="shared" si="8"/>
        <v/>
      </c>
      <c r="J37" s="266" t="str">
        <f t="shared" si="8"/>
        <v/>
      </c>
      <c r="K37" s="266" t="str">
        <f t="shared" si="8"/>
        <v/>
      </c>
      <c r="L37" s="266" t="str">
        <f t="shared" si="8"/>
        <v/>
      </c>
      <c r="M37" s="266" t="str">
        <f t="shared" si="8"/>
        <v/>
      </c>
      <c r="N37" s="266" t="str">
        <f t="shared" si="8"/>
        <v/>
      </c>
      <c r="O37" s="266" t="str">
        <f t="shared" si="8"/>
        <v/>
      </c>
    </row>
    <row r="38" spans="1:15" s="272" customFormat="1">
      <c r="B38" s="274" t="s">
        <v>240</v>
      </c>
      <c r="C38" s="267" t="str">
        <f t="shared" ref="C38:O38" si="9">IF(C6&gt;0,C37/C71,"")</f>
        <v/>
      </c>
      <c r="D38" s="267" t="str">
        <f t="shared" si="9"/>
        <v/>
      </c>
      <c r="E38" s="267" t="str">
        <f t="shared" si="9"/>
        <v/>
      </c>
      <c r="F38" s="267" t="str">
        <f t="shared" si="9"/>
        <v/>
      </c>
      <c r="G38" s="267" t="str">
        <f t="shared" si="9"/>
        <v/>
      </c>
      <c r="H38" s="267" t="str">
        <f t="shared" si="9"/>
        <v/>
      </c>
      <c r="I38" s="267" t="str">
        <f t="shared" si="9"/>
        <v/>
      </c>
      <c r="J38" s="267" t="str">
        <f t="shared" si="9"/>
        <v/>
      </c>
      <c r="K38" s="267" t="str">
        <f t="shared" si="9"/>
        <v/>
      </c>
      <c r="L38" s="267" t="str">
        <f t="shared" si="9"/>
        <v/>
      </c>
      <c r="M38" s="267" t="str">
        <f t="shared" si="9"/>
        <v/>
      </c>
      <c r="N38" s="267" t="str">
        <f t="shared" si="9"/>
        <v/>
      </c>
      <c r="O38" s="267" t="str">
        <f t="shared" si="9"/>
        <v/>
      </c>
    </row>
    <row r="39" spans="1:15" s="272" customFormat="1">
      <c r="B39" s="274" t="s">
        <v>241</v>
      </c>
      <c r="C39" s="266" t="str">
        <f>IF(C6&gt;0,SUM($C6:C6)-SUM($C71:C71),"")</f>
        <v/>
      </c>
      <c r="D39" s="266" t="str">
        <f>IF(D6&gt;0,SUM($C6:D6)-SUM($C71:D71),"")</f>
        <v/>
      </c>
      <c r="E39" s="266" t="str">
        <f>IF(E6&gt;0,SUM($C6:E6)-SUM($C71:E71),"")</f>
        <v/>
      </c>
      <c r="F39" s="266" t="str">
        <f>IF(F6&gt;0,SUM($C6:F6)-SUM($C71:F71),"")</f>
        <v/>
      </c>
      <c r="G39" s="266" t="str">
        <f>IF(G6&gt;0,SUM($C6:G6)-SUM($C71:G71),"")</f>
        <v/>
      </c>
      <c r="H39" s="266" t="str">
        <f>IF(H6&gt;0,SUM($C6:H6)-SUM($C71:H71),"")</f>
        <v/>
      </c>
      <c r="I39" s="266" t="str">
        <f>IF(I6&gt;0,SUM($C6:I6)-SUM($C71:I71),"")</f>
        <v/>
      </c>
      <c r="J39" s="266" t="str">
        <f>IF(J6&gt;0,SUM($C6:J6)-SUM($C71:J71),"")</f>
        <v/>
      </c>
      <c r="K39" s="266" t="str">
        <f>IF(K6&gt;0,SUM($C6:K6)-SUM($C71:K71),"")</f>
        <v/>
      </c>
      <c r="L39" s="266" t="str">
        <f>IF(L6&gt;0,SUM($C6:L6)-SUM($C71:L71),"")</f>
        <v/>
      </c>
      <c r="M39" s="266" t="str">
        <f>IF(M6&gt;0,SUM($C6:M6)-SUM($C71:M71),"")</f>
        <v/>
      </c>
      <c r="N39" s="266" t="str">
        <f>IF(N6&gt;0,SUM($C6:N6)-SUM($C71:N71),"")</f>
        <v/>
      </c>
    </row>
    <row r="40" spans="1:15" s="272" customFormat="1">
      <c r="B40" s="274" t="s">
        <v>242</v>
      </c>
      <c r="C40" s="267" t="str">
        <f>IF(C6&gt;0,C39/SUM($C71:C71),"")</f>
        <v/>
      </c>
      <c r="D40" s="267" t="str">
        <f>IF(D6&gt;0,D39/SUM($C71:D71),"")</f>
        <v/>
      </c>
      <c r="E40" s="267" t="str">
        <f>IF(E6&gt;0,E39/SUM($C71:E71),"")</f>
        <v/>
      </c>
      <c r="F40" s="267" t="str">
        <f>IF(F6&gt;0,F39/SUM($C71:F71),"")</f>
        <v/>
      </c>
      <c r="G40" s="267" t="str">
        <f>IF(G6&gt;0,G39/SUM($C71:G71),"")</f>
        <v/>
      </c>
      <c r="H40" s="267" t="str">
        <f>IF(H6&gt;0,H39/SUM($C71:H71),"")</f>
        <v/>
      </c>
      <c r="I40" s="267" t="str">
        <f>IF(I6&gt;0,I39/SUM($C71:I71),"")</f>
        <v/>
      </c>
      <c r="J40" s="267" t="str">
        <f>IF(J6&gt;0,J39/SUM($C71:J71),"")</f>
        <v/>
      </c>
      <c r="K40" s="267" t="str">
        <f>IF(K6&gt;0,K39/SUM($C71:K71),"")</f>
        <v/>
      </c>
      <c r="L40" s="267" t="str">
        <f>IF(L6&gt;0,L39/SUM($C71:L71),"")</f>
        <v/>
      </c>
      <c r="M40" s="267" t="str">
        <f>IF(M6&gt;0,M39/SUM($C71:M71),"")</f>
        <v/>
      </c>
      <c r="N40" s="267" t="str">
        <f>IF(N6&gt;0,N39/SUM($C71:N71),"")</f>
        <v/>
      </c>
    </row>
    <row r="41" spans="1:15" s="272" customFormat="1"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</row>
    <row r="42" spans="1:15" s="272" customFormat="1">
      <c r="A42" s="265" t="s">
        <v>159</v>
      </c>
      <c r="B42" s="274" t="s">
        <v>239</v>
      </c>
      <c r="C42" s="266" t="str">
        <f t="shared" ref="C42:O42" si="10">IF(C11&gt;0,C11-C76,"")</f>
        <v/>
      </c>
      <c r="D42" s="266" t="str">
        <f t="shared" si="10"/>
        <v/>
      </c>
      <c r="E42" s="266" t="str">
        <f t="shared" si="10"/>
        <v/>
      </c>
      <c r="F42" s="266" t="str">
        <f t="shared" si="10"/>
        <v/>
      </c>
      <c r="G42" s="266" t="str">
        <f t="shared" si="10"/>
        <v/>
      </c>
      <c r="H42" s="266" t="str">
        <f t="shared" si="10"/>
        <v/>
      </c>
      <c r="I42" s="266" t="str">
        <f t="shared" si="10"/>
        <v/>
      </c>
      <c r="J42" s="266" t="str">
        <f t="shared" si="10"/>
        <v/>
      </c>
      <c r="K42" s="266" t="str">
        <f t="shared" si="10"/>
        <v/>
      </c>
      <c r="L42" s="266" t="str">
        <f t="shared" si="10"/>
        <v/>
      </c>
      <c r="M42" s="266" t="str">
        <f t="shared" si="10"/>
        <v/>
      </c>
      <c r="N42" s="266" t="str">
        <f t="shared" si="10"/>
        <v/>
      </c>
      <c r="O42" s="266" t="str">
        <f t="shared" si="10"/>
        <v/>
      </c>
    </row>
    <row r="43" spans="1:15" s="272" customFormat="1">
      <c r="B43" s="274" t="s">
        <v>240</v>
      </c>
      <c r="C43" s="267" t="str">
        <f t="shared" ref="C43:O43" si="11">IF(C11&gt;0,C42/C76,"")</f>
        <v/>
      </c>
      <c r="D43" s="267" t="str">
        <f t="shared" si="11"/>
        <v/>
      </c>
      <c r="E43" s="267" t="str">
        <f t="shared" si="11"/>
        <v/>
      </c>
      <c r="F43" s="267" t="str">
        <f t="shared" si="11"/>
        <v/>
      </c>
      <c r="G43" s="267" t="str">
        <f t="shared" si="11"/>
        <v/>
      </c>
      <c r="H43" s="267" t="str">
        <f t="shared" si="11"/>
        <v/>
      </c>
      <c r="I43" s="267" t="str">
        <f t="shared" si="11"/>
        <v/>
      </c>
      <c r="J43" s="267" t="str">
        <f t="shared" si="11"/>
        <v/>
      </c>
      <c r="K43" s="267" t="str">
        <f t="shared" si="11"/>
        <v/>
      </c>
      <c r="L43" s="267" t="str">
        <f t="shared" si="11"/>
        <v/>
      </c>
      <c r="M43" s="267" t="str">
        <f t="shared" si="11"/>
        <v/>
      </c>
      <c r="N43" s="267" t="str">
        <f t="shared" si="11"/>
        <v/>
      </c>
      <c r="O43" s="267" t="str">
        <f t="shared" si="11"/>
        <v/>
      </c>
    </row>
    <row r="44" spans="1:15" s="272" customFormat="1">
      <c r="B44" s="274" t="s">
        <v>241</v>
      </c>
      <c r="C44" s="266" t="str">
        <f>IF(C11&gt;0,SUM($C11:C11)-SUM($C76:C76),"")</f>
        <v/>
      </c>
      <c r="D44" s="266" t="str">
        <f>IF(D11&gt;0,SUM($C11:D11)-SUM($C76:D76),"")</f>
        <v/>
      </c>
      <c r="E44" s="266" t="str">
        <f>IF(E11&gt;0,SUM($C11:E11)-SUM($C76:E76),"")</f>
        <v/>
      </c>
      <c r="F44" s="266" t="str">
        <f>IF(F11&gt;0,SUM($C11:F11)-SUM($C76:F76),"")</f>
        <v/>
      </c>
      <c r="G44" s="266" t="str">
        <f>IF(G11&gt;0,SUM($C11:G11)-SUM($C76:G76),"")</f>
        <v/>
      </c>
      <c r="H44" s="266" t="str">
        <f>IF(H11&gt;0,SUM($C11:H11)-SUM($C76:H76),"")</f>
        <v/>
      </c>
      <c r="I44" s="266" t="str">
        <f>IF(I11&gt;0,SUM($C11:I11)-SUM($C76:I76),"")</f>
        <v/>
      </c>
      <c r="J44" s="266" t="str">
        <f>IF(J11&gt;0,SUM($C11:J11)-SUM($C76:J76),"")</f>
        <v/>
      </c>
      <c r="K44" s="266" t="str">
        <f>IF(K11&gt;0,SUM($C11:K11)-SUM($C76:K76),"")</f>
        <v/>
      </c>
      <c r="L44" s="266" t="str">
        <f>IF(L11&gt;0,SUM($C11:L11)-SUM($C76:L76),"")</f>
        <v/>
      </c>
      <c r="M44" s="266" t="str">
        <f>IF(M11&gt;0,SUM($C11:M11)-SUM($C76:M76),"")</f>
        <v/>
      </c>
      <c r="N44" s="266" t="str">
        <f>IF(N11&gt;0,SUM($C11:N11)-SUM($C76:N76),"")</f>
        <v/>
      </c>
    </row>
    <row r="45" spans="1:15" s="272" customFormat="1">
      <c r="B45" s="274" t="s">
        <v>242</v>
      </c>
      <c r="C45" s="267" t="str">
        <f>IF(C11&gt;0,C44/SUM($C76:C76),"")</f>
        <v/>
      </c>
      <c r="D45" s="267" t="str">
        <f>IF(D11&gt;0,D44/SUM($C76:D76),"")</f>
        <v/>
      </c>
      <c r="E45" s="267" t="str">
        <f>IF(E11&gt;0,E44/SUM($C76:E76),"")</f>
        <v/>
      </c>
      <c r="F45" s="267" t="str">
        <f>IF(F11&gt;0,F44/SUM($C76:F76),"")</f>
        <v/>
      </c>
      <c r="G45" s="267" t="str">
        <f>IF(G11&gt;0,G44/SUM($C76:G76),"")</f>
        <v/>
      </c>
      <c r="H45" s="267" t="str">
        <f>IF(H11&gt;0,H44/SUM($C76:H76),"")</f>
        <v/>
      </c>
      <c r="I45" s="267" t="str">
        <f>IF(I11&gt;0,I44/SUM($C76:I76),"")</f>
        <v/>
      </c>
      <c r="J45" s="267" t="str">
        <f>IF(J11&gt;0,J44/SUM($C76:J76),"")</f>
        <v/>
      </c>
      <c r="K45" s="267" t="str">
        <f>IF(K11&gt;0,K44/SUM($C76:K76),"")</f>
        <v/>
      </c>
      <c r="L45" s="267" t="str">
        <f>IF(L11&gt;0,L44/SUM($C76:L76),"")</f>
        <v/>
      </c>
      <c r="M45" s="267" t="str">
        <f>IF(M11&gt;0,M44/SUM($C76:M76),"")</f>
        <v/>
      </c>
      <c r="N45" s="267" t="str">
        <f>IF(N11&gt;0,N44/SUM($C76:N76),"")</f>
        <v/>
      </c>
    </row>
    <row r="46" spans="1:15" s="272" customFormat="1">
      <c r="B46" s="274"/>
      <c r="C46" s="267"/>
      <c r="D46" s="267"/>
      <c r="E46" s="267"/>
      <c r="F46" s="267"/>
      <c r="G46" s="267"/>
      <c r="H46" s="267"/>
      <c r="I46" s="267"/>
      <c r="J46" s="267"/>
      <c r="K46" s="267"/>
      <c r="L46" s="267"/>
      <c r="M46" s="267"/>
      <c r="N46" s="267"/>
    </row>
    <row r="47" spans="1:15" s="272" customFormat="1">
      <c r="A47" s="265" t="s">
        <v>243</v>
      </c>
      <c r="B47" s="274" t="s">
        <v>239</v>
      </c>
      <c r="C47" s="266" t="str">
        <f>IF(C14&gt;0,C79-C14,"")</f>
        <v/>
      </c>
      <c r="D47" s="266" t="str">
        <f t="shared" ref="D47:N47" si="12">IF(D14&gt;0,D79-D14,"")</f>
        <v/>
      </c>
      <c r="E47" s="266" t="str">
        <f t="shared" si="12"/>
        <v/>
      </c>
      <c r="F47" s="266" t="str">
        <f t="shared" si="12"/>
        <v/>
      </c>
      <c r="G47" s="266" t="str">
        <f t="shared" si="12"/>
        <v/>
      </c>
      <c r="H47" s="266" t="str">
        <f t="shared" si="12"/>
        <v/>
      </c>
      <c r="I47" s="266" t="str">
        <f t="shared" si="12"/>
        <v/>
      </c>
      <c r="J47" s="266" t="str">
        <f t="shared" si="12"/>
        <v/>
      </c>
      <c r="K47" s="266" t="str">
        <f t="shared" si="12"/>
        <v/>
      </c>
      <c r="L47" s="266" t="str">
        <f t="shared" si="12"/>
        <v/>
      </c>
      <c r="M47" s="266" t="str">
        <f t="shared" si="12"/>
        <v/>
      </c>
      <c r="N47" s="266" t="str">
        <f t="shared" si="12"/>
        <v/>
      </c>
    </row>
    <row r="48" spans="1:15" s="272" customFormat="1">
      <c r="A48" s="265"/>
      <c r="B48" s="274" t="s">
        <v>240</v>
      </c>
      <c r="C48" s="267" t="str">
        <f>IF(C14&gt;0,C47/C79,"")</f>
        <v/>
      </c>
      <c r="D48" s="267" t="str">
        <f t="shared" ref="D48:N48" si="13">IF(D14&gt;0,D47/D79,"")</f>
        <v/>
      </c>
      <c r="E48" s="267" t="str">
        <f t="shared" si="13"/>
        <v/>
      </c>
      <c r="F48" s="267" t="str">
        <f t="shared" si="13"/>
        <v/>
      </c>
      <c r="G48" s="267" t="str">
        <f t="shared" si="13"/>
        <v/>
      </c>
      <c r="H48" s="267" t="str">
        <f t="shared" si="13"/>
        <v/>
      </c>
      <c r="I48" s="267" t="str">
        <f t="shared" si="13"/>
        <v/>
      </c>
      <c r="J48" s="267" t="str">
        <f t="shared" si="13"/>
        <v/>
      </c>
      <c r="K48" s="267" t="str">
        <f t="shared" si="13"/>
        <v/>
      </c>
      <c r="L48" s="267" t="str">
        <f t="shared" si="13"/>
        <v/>
      </c>
      <c r="M48" s="267" t="str">
        <f t="shared" si="13"/>
        <v/>
      </c>
      <c r="N48" s="267" t="str">
        <f t="shared" si="13"/>
        <v/>
      </c>
    </row>
    <row r="49" spans="1:14">
      <c r="A49" s="265"/>
      <c r="B49" s="274" t="s">
        <v>241</v>
      </c>
      <c r="C49" s="266" t="str">
        <f>IF(C14&gt;0,SUM($C79:C79)-SUM($C14:C14),"")</f>
        <v/>
      </c>
      <c r="D49" s="266" t="str">
        <f>IF(D14&gt;0,SUM($C79:D79)-SUM($C14:D14),"")</f>
        <v/>
      </c>
      <c r="E49" s="266" t="str">
        <f>IF(E14&gt;0,SUM($C79:E79)-SUM($C14:E14),"")</f>
        <v/>
      </c>
      <c r="F49" s="266" t="str">
        <f>IF(F14&gt;0,SUM($C79:F79)-SUM($C14:F14),"")</f>
        <v/>
      </c>
      <c r="G49" s="266" t="str">
        <f>IF(G14&gt;0,SUM($C79:G79)-SUM($C14:G14),"")</f>
        <v/>
      </c>
      <c r="H49" s="266" t="str">
        <f>IF(H14&gt;0,SUM($C79:H79)-SUM($C14:H14),"")</f>
        <v/>
      </c>
      <c r="I49" s="266" t="str">
        <f>IF(I14&gt;0,SUM($C79:I79)-SUM($C14:I14),"")</f>
        <v/>
      </c>
      <c r="J49" s="266" t="str">
        <f>IF(J14&gt;0,SUM($C79:J79)-SUM($C14:J14),"")</f>
        <v/>
      </c>
      <c r="K49" s="266" t="str">
        <f>IF(K14&gt;0,SUM($C79:K79)-SUM($C14:K14),"")</f>
        <v/>
      </c>
      <c r="L49" s="266" t="str">
        <f>IF(L14&gt;0,SUM($C79:L79)-SUM($C14:L14),"")</f>
        <v/>
      </c>
      <c r="M49" s="266" t="str">
        <f>IF(M14&gt;0,SUM($C79:M79)-SUM($C14:M14),"")</f>
        <v/>
      </c>
      <c r="N49" s="266" t="str">
        <f>IF(N14&gt;0,SUM($C79:N79)-SUM($C14:N14),"")</f>
        <v/>
      </c>
    </row>
    <row r="50" spans="1:14">
      <c r="A50" s="265"/>
      <c r="B50" s="274" t="s">
        <v>242</v>
      </c>
      <c r="C50" s="267" t="str">
        <f>IF(C14&gt;0,C49/SUM($C79:C79),"")</f>
        <v/>
      </c>
      <c r="D50" s="267" t="str">
        <f>IF(D14&gt;0,D49/SUM($C79:D79),"")</f>
        <v/>
      </c>
      <c r="E50" s="267" t="str">
        <f>IF(E14&gt;0,E49/SUM($C79:E79),"")</f>
        <v/>
      </c>
      <c r="F50" s="267" t="str">
        <f>IF(F14&gt;0,F49/SUM($C79:F79),"")</f>
        <v/>
      </c>
      <c r="G50" s="267" t="str">
        <f>IF(G14&gt;0,G49/SUM($C79:G79),"")</f>
        <v/>
      </c>
      <c r="H50" s="267" t="str">
        <f>IF(H14&gt;0,H49/SUM($C79:H79),"")</f>
        <v/>
      </c>
      <c r="I50" s="267" t="str">
        <f>IF(I14&gt;0,I49/SUM($C79:I79),"")</f>
        <v/>
      </c>
      <c r="J50" s="267" t="str">
        <f>IF(J14&gt;0,J49/SUM($C79:J79),"")</f>
        <v/>
      </c>
      <c r="K50" s="267" t="str">
        <f>IF(K14&gt;0,K49/SUM($C79:K79),"")</f>
        <v/>
      </c>
      <c r="L50" s="267" t="str">
        <f>IF(L14&gt;0,L49/SUM($C79:L79),"")</f>
        <v/>
      </c>
      <c r="M50" s="267" t="str">
        <f>IF(M14&gt;0,M49/SUM($C79:M79),"")</f>
        <v/>
      </c>
      <c r="N50" s="267" t="str">
        <f>IF(N14&gt;0,N49/SUM($C79:N79),"")</f>
        <v/>
      </c>
    </row>
    <row r="51" spans="1:14">
      <c r="A51" s="265"/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</row>
    <row r="52" spans="1:14">
      <c r="A52" s="265" t="s">
        <v>232</v>
      </c>
      <c r="B52" s="274" t="s">
        <v>239</v>
      </c>
      <c r="C52" s="266" t="str">
        <f>IF(C16&gt;0,C81-C16,"")</f>
        <v/>
      </c>
      <c r="D52" s="266" t="str">
        <f t="shared" ref="D52:N52" si="14">IF(D16&gt;0,D81-D16,"")</f>
        <v/>
      </c>
      <c r="E52" s="266" t="str">
        <f t="shared" si="14"/>
        <v/>
      </c>
      <c r="F52" s="266" t="str">
        <f t="shared" si="14"/>
        <v/>
      </c>
      <c r="G52" s="266" t="str">
        <f t="shared" si="14"/>
        <v/>
      </c>
      <c r="H52" s="266" t="str">
        <f t="shared" si="14"/>
        <v/>
      </c>
      <c r="I52" s="266" t="str">
        <f t="shared" si="14"/>
        <v/>
      </c>
      <c r="J52" s="266" t="str">
        <f t="shared" si="14"/>
        <v/>
      </c>
      <c r="K52" s="266" t="str">
        <f t="shared" si="14"/>
        <v/>
      </c>
      <c r="L52" s="266" t="str">
        <f t="shared" si="14"/>
        <v/>
      </c>
      <c r="M52" s="266" t="str">
        <f t="shared" si="14"/>
        <v/>
      </c>
      <c r="N52" s="266" t="str">
        <f t="shared" si="14"/>
        <v/>
      </c>
    </row>
    <row r="53" spans="1:14">
      <c r="A53" s="272"/>
      <c r="B53" s="274" t="s">
        <v>240</v>
      </c>
      <c r="C53" s="267" t="str">
        <f>IF(C16&gt;0,C52/C81,"")</f>
        <v/>
      </c>
      <c r="D53" s="267" t="str">
        <f t="shared" ref="D53:N53" si="15">IF(D16&gt;0,D52/D81,"")</f>
        <v/>
      </c>
      <c r="E53" s="267" t="str">
        <f t="shared" si="15"/>
        <v/>
      </c>
      <c r="F53" s="267" t="str">
        <f t="shared" si="15"/>
        <v/>
      </c>
      <c r="G53" s="267" t="str">
        <f t="shared" si="15"/>
        <v/>
      </c>
      <c r="H53" s="267" t="str">
        <f t="shared" si="15"/>
        <v/>
      </c>
      <c r="I53" s="267" t="str">
        <f t="shared" si="15"/>
        <v/>
      </c>
      <c r="J53" s="267" t="str">
        <f t="shared" si="15"/>
        <v/>
      </c>
      <c r="K53" s="267" t="str">
        <f t="shared" si="15"/>
        <v/>
      </c>
      <c r="L53" s="267" t="str">
        <f t="shared" si="15"/>
        <v/>
      </c>
      <c r="M53" s="267" t="str">
        <f t="shared" si="15"/>
        <v/>
      </c>
      <c r="N53" s="267" t="str">
        <f t="shared" si="15"/>
        <v/>
      </c>
    </row>
    <row r="54" spans="1:14">
      <c r="A54" s="272"/>
      <c r="B54" s="274" t="s">
        <v>241</v>
      </c>
      <c r="C54" s="266" t="str">
        <f>IF(C16&gt;0,SUM($C81:C81)-SUM($C16:C16),"")</f>
        <v/>
      </c>
      <c r="D54" s="266" t="str">
        <f>IF(D16&gt;0,SUM($C81:D81)-SUM($C16:D16),"")</f>
        <v/>
      </c>
      <c r="E54" s="266" t="str">
        <f>IF(E16&gt;0,SUM($C81:E81)-SUM($C16:E16),"")</f>
        <v/>
      </c>
      <c r="F54" s="266" t="str">
        <f>IF(F16&gt;0,SUM($C81:F81)-SUM($C16:F16),"")</f>
        <v/>
      </c>
      <c r="G54" s="266" t="str">
        <f>IF(G16&gt;0,SUM($C81:G81)-SUM($C16:G16),"")</f>
        <v/>
      </c>
      <c r="H54" s="266" t="str">
        <f>IF(H16&gt;0,SUM($C81:H81)-SUM($C16:H16),"")</f>
        <v/>
      </c>
      <c r="I54" s="266" t="str">
        <f>IF(I16&gt;0,SUM($C81:I81)-SUM($C16:I16),"")</f>
        <v/>
      </c>
      <c r="J54" s="266" t="str">
        <f>IF(J16&gt;0,SUM($C81:J81)-SUM($C16:J16),"")</f>
        <v/>
      </c>
      <c r="K54" s="266" t="str">
        <f>IF(K16&gt;0,SUM($C81:K81)-SUM($C16:K16),"")</f>
        <v/>
      </c>
      <c r="L54" s="266" t="str">
        <f>IF(L16&gt;0,SUM($C81:L81)-SUM($C16:L16),"")</f>
        <v/>
      </c>
      <c r="M54" s="266" t="str">
        <f>IF(M16&gt;0,SUM($C81:M81)-SUM($C16:M16),"")</f>
        <v/>
      </c>
      <c r="N54" s="266" t="str">
        <f>IF(N16&gt;0,SUM($C81:N81)-SUM($C16:N16),"")</f>
        <v/>
      </c>
    </row>
    <row r="55" spans="1:14">
      <c r="A55" s="272"/>
      <c r="B55" s="274" t="s">
        <v>242</v>
      </c>
      <c r="C55" s="267" t="str">
        <f>IF(C16&gt;0,C54/SUM($C81:C81),"")</f>
        <v/>
      </c>
      <c r="D55" s="267" t="str">
        <f>IF(D16&gt;0,D54/SUM($C81:D81),"")</f>
        <v/>
      </c>
      <c r="E55" s="267" t="str">
        <f>IF(E16&gt;0,E54/SUM($C81:E81),"")</f>
        <v/>
      </c>
      <c r="F55" s="267" t="str">
        <f>IF(F16&gt;0,F54/SUM($C81:F81),"")</f>
        <v/>
      </c>
      <c r="G55" s="267" t="str">
        <f>IF(G16&gt;0,G54/SUM($C81:G81),"")</f>
        <v/>
      </c>
      <c r="H55" s="267" t="str">
        <f>IF(H16&gt;0,H54/SUM($C81:H81),"")</f>
        <v/>
      </c>
      <c r="I55" s="267" t="str">
        <f>IF(I16&gt;0,I54/SUM($C81:I81),"")</f>
        <v/>
      </c>
      <c r="J55" s="267" t="str">
        <f>IF(J16&gt;0,J54/SUM($C81:J81),"")</f>
        <v/>
      </c>
      <c r="K55" s="267" t="str">
        <f>IF(K16&gt;0,K54/SUM($C81:K81),"")</f>
        <v/>
      </c>
      <c r="L55" s="267" t="str">
        <f>IF(L16&gt;0,L54/SUM($C81:L81),"")</f>
        <v/>
      </c>
      <c r="M55" s="267" t="str">
        <f>IF(M16&gt;0,M54/SUM($C81:M81),"")</f>
        <v/>
      </c>
      <c r="N55" s="267" t="str">
        <f>IF(N16&gt;0,N54/SUM($C81:N81),"")</f>
        <v/>
      </c>
    </row>
    <row r="56" spans="1:14">
      <c r="A56" s="272"/>
      <c r="C56" s="261"/>
      <c r="D56" s="261"/>
      <c r="E56" s="261"/>
      <c r="F56" s="261"/>
      <c r="G56" s="261"/>
      <c r="H56" s="261"/>
      <c r="I56" s="261"/>
      <c r="J56" s="261"/>
      <c r="K56" s="261"/>
      <c r="L56" s="261"/>
      <c r="M56" s="261"/>
      <c r="N56" s="261"/>
    </row>
    <row r="57" spans="1:14">
      <c r="A57" s="265" t="s">
        <v>244</v>
      </c>
      <c r="B57" s="274" t="s">
        <v>239</v>
      </c>
      <c r="C57" s="266" t="str">
        <f t="shared" ref="C57:N57" si="16">IF(C19&gt;0,C19-C84,"")</f>
        <v/>
      </c>
      <c r="D57" s="266" t="str">
        <f t="shared" si="16"/>
        <v/>
      </c>
      <c r="E57" s="266" t="str">
        <f t="shared" si="16"/>
        <v/>
      </c>
      <c r="F57" s="266" t="str">
        <f t="shared" si="16"/>
        <v/>
      </c>
      <c r="G57" s="266" t="str">
        <f t="shared" si="16"/>
        <v/>
      </c>
      <c r="H57" s="266" t="str">
        <f t="shared" si="16"/>
        <v/>
      </c>
      <c r="I57" s="266" t="str">
        <f t="shared" si="16"/>
        <v/>
      </c>
      <c r="J57" s="266" t="str">
        <f t="shared" si="16"/>
        <v/>
      </c>
      <c r="K57" s="266" t="str">
        <f t="shared" si="16"/>
        <v/>
      </c>
      <c r="L57" s="266" t="str">
        <f t="shared" si="16"/>
        <v/>
      </c>
      <c r="M57" s="266" t="str">
        <f t="shared" si="16"/>
        <v/>
      </c>
      <c r="N57" s="266" t="str">
        <f t="shared" si="16"/>
        <v/>
      </c>
    </row>
    <row r="58" spans="1:14">
      <c r="A58" s="272"/>
      <c r="B58" s="274" t="s">
        <v>240</v>
      </c>
      <c r="C58" s="267" t="str">
        <f t="shared" ref="C58:N58" si="17">IF(C19&gt;0,C57/C84,"")</f>
        <v/>
      </c>
      <c r="D58" s="267" t="str">
        <f t="shared" si="17"/>
        <v/>
      </c>
      <c r="E58" s="267" t="str">
        <f t="shared" si="17"/>
        <v/>
      </c>
      <c r="F58" s="267" t="str">
        <f t="shared" si="17"/>
        <v/>
      </c>
      <c r="G58" s="267" t="str">
        <f t="shared" si="17"/>
        <v/>
      </c>
      <c r="H58" s="267" t="str">
        <f t="shared" si="17"/>
        <v/>
      </c>
      <c r="I58" s="267" t="str">
        <f t="shared" si="17"/>
        <v/>
      </c>
      <c r="J58" s="267" t="str">
        <f t="shared" si="17"/>
        <v/>
      </c>
      <c r="K58" s="267" t="str">
        <f t="shared" si="17"/>
        <v/>
      </c>
      <c r="L58" s="267" t="str">
        <f t="shared" si="17"/>
        <v/>
      </c>
      <c r="M58" s="267" t="str">
        <f t="shared" si="17"/>
        <v/>
      </c>
      <c r="N58" s="267" t="str">
        <f t="shared" si="17"/>
        <v/>
      </c>
    </row>
    <row r="59" spans="1:14">
      <c r="A59" s="272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</row>
    <row r="60" spans="1:14">
      <c r="A60" s="265" t="s">
        <v>245</v>
      </c>
      <c r="B60" s="274" t="s">
        <v>239</v>
      </c>
      <c r="C60" s="266" t="str">
        <f t="shared" ref="C60:N60" si="18">IF(C20&gt;0,C20-C85,"")</f>
        <v/>
      </c>
      <c r="D60" s="266" t="str">
        <f t="shared" si="18"/>
        <v/>
      </c>
      <c r="E60" s="266" t="str">
        <f t="shared" si="18"/>
        <v/>
      </c>
      <c r="F60" s="266" t="str">
        <f t="shared" si="18"/>
        <v/>
      </c>
      <c r="G60" s="266" t="str">
        <f t="shared" si="18"/>
        <v/>
      </c>
      <c r="H60" s="266" t="str">
        <f t="shared" si="18"/>
        <v/>
      </c>
      <c r="I60" s="266" t="str">
        <f t="shared" si="18"/>
        <v/>
      </c>
      <c r="J60" s="266" t="str">
        <f t="shared" si="18"/>
        <v/>
      </c>
      <c r="K60" s="266" t="str">
        <f t="shared" si="18"/>
        <v/>
      </c>
      <c r="L60" s="266" t="str">
        <f t="shared" si="18"/>
        <v/>
      </c>
      <c r="M60" s="266" t="str">
        <f t="shared" si="18"/>
        <v/>
      </c>
      <c r="N60" s="266" t="str">
        <f t="shared" si="18"/>
        <v/>
      </c>
    </row>
    <row r="61" spans="1:14">
      <c r="A61" s="272"/>
      <c r="B61" s="274" t="s">
        <v>240</v>
      </c>
      <c r="C61" s="267" t="str">
        <f t="shared" ref="C61:N61" si="19">IF(C20&gt;0,C60/C85,"")</f>
        <v/>
      </c>
      <c r="D61" s="267" t="str">
        <f t="shared" si="19"/>
        <v/>
      </c>
      <c r="E61" s="267" t="str">
        <f t="shared" si="19"/>
        <v/>
      </c>
      <c r="F61" s="267" t="str">
        <f t="shared" si="19"/>
        <v/>
      </c>
      <c r="G61" s="267" t="str">
        <f t="shared" si="19"/>
        <v/>
      </c>
      <c r="H61" s="267" t="str">
        <f t="shared" si="19"/>
        <v/>
      </c>
      <c r="I61" s="267" t="str">
        <f t="shared" si="19"/>
        <v/>
      </c>
      <c r="J61" s="267" t="str">
        <f t="shared" si="19"/>
        <v/>
      </c>
      <c r="K61" s="267" t="str">
        <f t="shared" si="19"/>
        <v/>
      </c>
      <c r="L61" s="267" t="str">
        <f t="shared" si="19"/>
        <v/>
      </c>
      <c r="M61" s="267" t="str">
        <f t="shared" si="19"/>
        <v/>
      </c>
      <c r="N61" s="267" t="str">
        <f t="shared" si="19"/>
        <v/>
      </c>
    </row>
    <row r="62" spans="1:14">
      <c r="A62" s="272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</row>
    <row r="63" spans="1:14">
      <c r="A63" s="265" t="s">
        <v>236</v>
      </c>
      <c r="B63" s="274" t="s">
        <v>239</v>
      </c>
      <c r="C63" s="266" t="str">
        <f t="shared" ref="C63:N63" si="20">IF(C22&gt;0,C22-C87,IF(C22&lt;0,C22-C87,""))</f>
        <v/>
      </c>
      <c r="D63" s="266" t="str">
        <f t="shared" si="20"/>
        <v/>
      </c>
      <c r="E63" s="266" t="str">
        <f t="shared" si="20"/>
        <v/>
      </c>
      <c r="F63" s="266" t="str">
        <f t="shared" si="20"/>
        <v/>
      </c>
      <c r="G63" s="266" t="str">
        <f t="shared" si="20"/>
        <v/>
      </c>
      <c r="H63" s="266" t="str">
        <f t="shared" si="20"/>
        <v/>
      </c>
      <c r="I63" s="266" t="str">
        <f t="shared" si="20"/>
        <v/>
      </c>
      <c r="J63" s="266" t="str">
        <f t="shared" si="20"/>
        <v/>
      </c>
      <c r="K63" s="266" t="str">
        <f t="shared" si="20"/>
        <v/>
      </c>
      <c r="L63" s="266" t="str">
        <f t="shared" si="20"/>
        <v/>
      </c>
      <c r="M63" s="266" t="str">
        <f t="shared" si="20"/>
        <v/>
      </c>
      <c r="N63" s="266" t="str">
        <f t="shared" si="20"/>
        <v/>
      </c>
    </row>
    <row r="64" spans="1:14">
      <c r="A64" s="272"/>
      <c r="B64" s="274" t="s">
        <v>240</v>
      </c>
      <c r="C64" s="267" t="str">
        <f t="shared" ref="C64:N64" si="21">IF(C22&gt;0,C63/C87,IF(C22&lt;0,C63/C87,""))</f>
        <v/>
      </c>
      <c r="D64" s="267" t="str">
        <f t="shared" si="21"/>
        <v/>
      </c>
      <c r="E64" s="267" t="str">
        <f t="shared" si="21"/>
        <v/>
      </c>
      <c r="F64" s="267" t="str">
        <f t="shared" si="21"/>
        <v/>
      </c>
      <c r="G64" s="267" t="str">
        <f t="shared" si="21"/>
        <v/>
      </c>
      <c r="H64" s="267" t="str">
        <f t="shared" si="21"/>
        <v/>
      </c>
      <c r="I64" s="267" t="str">
        <f t="shared" si="21"/>
        <v/>
      </c>
      <c r="J64" s="267" t="str">
        <f t="shared" si="21"/>
        <v/>
      </c>
      <c r="K64" s="267" t="str">
        <f t="shared" si="21"/>
        <v/>
      </c>
      <c r="L64" s="267" t="str">
        <f t="shared" si="21"/>
        <v/>
      </c>
      <c r="M64" s="267" t="str">
        <f t="shared" si="21"/>
        <v/>
      </c>
      <c r="N64" s="267" t="str">
        <f t="shared" si="21"/>
        <v/>
      </c>
    </row>
    <row r="65" spans="2:15">
      <c r="C65" s="261"/>
    </row>
    <row r="66" spans="2:15" s="114" customFormat="1">
      <c r="B66" s="270" t="s">
        <v>246</v>
      </c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</row>
    <row r="67" spans="2:15">
      <c r="B67" s="116" t="s">
        <v>247</v>
      </c>
      <c r="C67" s="277">
        <f>C2</f>
        <v>44561</v>
      </c>
      <c r="D67" s="277">
        <f t="shared" ref="D67:N67" si="22">D2</f>
        <v>44592</v>
      </c>
      <c r="E67" s="277">
        <f t="shared" si="22"/>
        <v>44620</v>
      </c>
      <c r="F67" s="277">
        <f t="shared" si="22"/>
        <v>44651</v>
      </c>
      <c r="G67" s="277">
        <f t="shared" si="22"/>
        <v>44681</v>
      </c>
      <c r="H67" s="277">
        <f t="shared" si="22"/>
        <v>44712</v>
      </c>
      <c r="I67" s="277">
        <f t="shared" si="22"/>
        <v>44742</v>
      </c>
      <c r="J67" s="277">
        <f t="shared" si="22"/>
        <v>44773</v>
      </c>
      <c r="K67" s="277">
        <f>K2</f>
        <v>44804</v>
      </c>
      <c r="L67" s="277">
        <f t="shared" si="22"/>
        <v>44834</v>
      </c>
      <c r="M67" s="277">
        <f t="shared" si="22"/>
        <v>44865</v>
      </c>
      <c r="N67" s="277">
        <f t="shared" si="22"/>
        <v>44895</v>
      </c>
      <c r="O67" s="260" t="s">
        <v>44</v>
      </c>
    </row>
    <row r="68" spans="2:15">
      <c r="B68" s="272" t="s">
        <v>224</v>
      </c>
      <c r="O68" s="261"/>
    </row>
    <row r="69" spans="2:15">
      <c r="B69" s="274" t="s">
        <v>8</v>
      </c>
      <c r="C69" s="278">
        <f>'P&amp;LY1'!C11</f>
        <v>900.27997079775832</v>
      </c>
      <c r="D69" s="278">
        <f>'P&amp;LY1'!D11</f>
        <v>1112.5268205938935</v>
      </c>
      <c r="E69" s="278">
        <f>'P&amp;LY1'!E11</f>
        <v>1346.6963953505631</v>
      </c>
      <c r="F69" s="278">
        <f>'P&amp;LY1'!F11</f>
        <v>1231.1778129190575</v>
      </c>
      <c r="G69" s="278">
        <f>'P&amp;LY1'!G11</f>
        <v>1436.8248774324204</v>
      </c>
      <c r="H69" s="278">
        <f>'P&amp;LY1'!H11</f>
        <v>1314.0907000728205</v>
      </c>
      <c r="I69" s="278">
        <f>'P&amp;LY1'!I11</f>
        <v>1299.1791010857371</v>
      </c>
      <c r="J69" s="278">
        <f>'P&amp;LY1'!J11</f>
        <v>2013.2714567212431</v>
      </c>
      <c r="K69" s="278">
        <f>'P&amp;LY1'!K11</f>
        <v>1207.7732182041959</v>
      </c>
      <c r="L69" s="278">
        <f>'P&amp;LY1'!L11</f>
        <v>1278.6100004800646</v>
      </c>
      <c r="M69" s="278">
        <f>'P&amp;LY1'!M11</f>
        <v>1239.7561926106453</v>
      </c>
      <c r="N69" s="278">
        <f>'P&amp;LY1'!N11</f>
        <v>1119.8134537316155</v>
      </c>
      <c r="O69" s="264">
        <f>SUM(C69:N69)</f>
        <v>15500.000000000015</v>
      </c>
    </row>
    <row r="70" spans="2:15">
      <c r="B70" s="274" t="s">
        <v>225</v>
      </c>
      <c r="C70" s="278">
        <f>'P&amp;LY1'!C10</f>
        <v>89127.717108977988</v>
      </c>
      <c r="D70" s="278">
        <f>'P&amp;LY1'!D10</f>
        <v>110140.15523879536</v>
      </c>
      <c r="E70" s="278">
        <f>'P&amp;LY1'!E10</f>
        <v>133322.94313970563</v>
      </c>
      <c r="F70" s="278">
        <f>'P&amp;LY1'!F10</f>
        <v>121886.60347898657</v>
      </c>
      <c r="G70" s="278">
        <f>'P&amp;LY1'!G10</f>
        <v>142245.66286580949</v>
      </c>
      <c r="H70" s="278">
        <f>'P&amp;LY1'!H10</f>
        <v>130094.9793072091</v>
      </c>
      <c r="I70" s="278">
        <f>'P&amp;LY1'!I10</f>
        <v>128618.73100748786</v>
      </c>
      <c r="J70" s="278">
        <f>'P&amp;LY1'!J10</f>
        <v>199313.87421540287</v>
      </c>
      <c r="K70" s="278">
        <f>'P&amp;LY1'!K10</f>
        <v>119569.54860221529</v>
      </c>
      <c r="L70" s="278">
        <f>'P&amp;LY1'!L10</f>
        <v>126582.39004752628</v>
      </c>
      <c r="M70" s="278">
        <f>'P&amp;LY1'!M10</f>
        <v>122735.86306845376</v>
      </c>
      <c r="N70" s="278">
        <f>'P&amp;LY1'!N10</f>
        <v>110861.53191942984</v>
      </c>
      <c r="O70" s="264">
        <f>SUM(C70:N70)</f>
        <v>1534500</v>
      </c>
    </row>
    <row r="71" spans="2:15">
      <c r="B71" s="274" t="s">
        <v>150</v>
      </c>
      <c r="C71" s="278">
        <f>SUM(C69:C70)</f>
        <v>90027.997079775741</v>
      </c>
      <c r="D71" s="278">
        <f t="shared" ref="D71:N71" si="23">SUM(D69:D70)</f>
        <v>111252.68205938925</v>
      </c>
      <c r="E71" s="278">
        <f t="shared" si="23"/>
        <v>134669.63953505619</v>
      </c>
      <c r="F71" s="278">
        <f t="shared" si="23"/>
        <v>123117.78129190563</v>
      </c>
      <c r="G71" s="278">
        <f t="shared" si="23"/>
        <v>143682.48774324192</v>
      </c>
      <c r="H71" s="278">
        <f t="shared" si="23"/>
        <v>131409.07000728193</v>
      </c>
      <c r="I71" s="278">
        <f t="shared" si="23"/>
        <v>129917.9101085736</v>
      </c>
      <c r="J71" s="278">
        <f t="shared" si="23"/>
        <v>201327.14567212411</v>
      </c>
      <c r="K71" s="278">
        <f t="shared" si="23"/>
        <v>120777.32182041949</v>
      </c>
      <c r="L71" s="278">
        <f t="shared" si="23"/>
        <v>127861.00004800635</v>
      </c>
      <c r="M71" s="278">
        <f t="shared" si="23"/>
        <v>123975.61926106441</v>
      </c>
      <c r="N71" s="278">
        <f t="shared" si="23"/>
        <v>111981.34537316146</v>
      </c>
      <c r="O71" s="266">
        <f>SUM(O69:O70)</f>
        <v>1550000</v>
      </c>
    </row>
    <row r="72" spans="2:15">
      <c r="B72" s="272" t="s">
        <v>226</v>
      </c>
      <c r="O72" s="266"/>
    </row>
    <row r="73" spans="2:15">
      <c r="B73" s="274" t="s">
        <v>227</v>
      </c>
      <c r="C73" s="279">
        <f>'P&amp;LY1'!C20</f>
        <v>281.99622139023364</v>
      </c>
      <c r="D73" s="279">
        <f>'P&amp;LY1'!D20</f>
        <v>364.72375292714992</v>
      </c>
      <c r="E73" s="279">
        <f>'P&amp;LY1'!E20</f>
        <v>373.62400834914172</v>
      </c>
      <c r="F73" s="279">
        <f>'P&amp;LY1'!F20</f>
        <v>394.96588699130291</v>
      </c>
      <c r="G73" s="279">
        <f>'P&amp;LY1'!G20</f>
        <v>395.9007898304165</v>
      </c>
      <c r="H73" s="279">
        <f>'P&amp;LY1'!H20</f>
        <v>344.70505935167159</v>
      </c>
      <c r="I73" s="279">
        <f>'P&amp;LY1'!I20</f>
        <v>99.846655633414144</v>
      </c>
      <c r="J73" s="279">
        <f>'P&amp;LY1'!J20</f>
        <v>210.55025277356927</v>
      </c>
      <c r="K73" s="279">
        <f>'P&amp;LY1'!K20</f>
        <v>31.489582738125367</v>
      </c>
      <c r="L73" s="279">
        <f>'P&amp;LY1'!L20</f>
        <v>105.46507646833749</v>
      </c>
      <c r="M73" s="279">
        <f>'P&amp;LY1'!M20</f>
        <v>114.72269605496628</v>
      </c>
      <c r="N73" s="279">
        <f>'P&amp;LY1'!N20</f>
        <v>108.26618839774969</v>
      </c>
      <c r="O73" s="264">
        <f>SUM(C73:N73)</f>
        <v>2826.2561709060792</v>
      </c>
    </row>
    <row r="74" spans="2:15">
      <c r="B74" s="274" t="s">
        <v>228</v>
      </c>
      <c r="C74" s="279">
        <f>'P&amp;LY1'!C16</f>
        <v>34480.776148103316</v>
      </c>
      <c r="D74" s="279">
        <f>'P&amp;LY1'!D16</f>
        <v>38028.45137753505</v>
      </c>
      <c r="E74" s="279">
        <f>'P&amp;LY1'!E16</f>
        <v>44836.99325697223</v>
      </c>
      <c r="F74" s="279">
        <f>'P&amp;LY1'!F16</f>
        <v>44328.213416751278</v>
      </c>
      <c r="G74" s="279">
        <f>'P&amp;LY1'!G16</f>
        <v>46699.806616034562</v>
      </c>
      <c r="H74" s="279">
        <f>'P&amp;LY1'!H16</f>
        <v>47105.413624357214</v>
      </c>
      <c r="I74" s="279">
        <f>'P&amp;LY1'!I16</f>
        <v>42243.5963663117</v>
      </c>
      <c r="J74" s="279">
        <f>'P&amp;LY1'!J16</f>
        <v>67954.892707256324</v>
      </c>
      <c r="K74" s="279">
        <f>'P&amp;LY1'!K16</f>
        <v>42222.745003417571</v>
      </c>
      <c r="L74" s="279">
        <f>'P&amp;LY1'!L16</f>
        <v>43265.438943456524</v>
      </c>
      <c r="M74" s="279">
        <f>'P&amp;LY1'!M16</f>
        <v>41625.739007792719</v>
      </c>
      <c r="N74" s="279">
        <f>'P&amp;LY1'!N16</f>
        <v>38156.830409159033</v>
      </c>
      <c r="O74" s="264">
        <f>SUM(C74:N74)</f>
        <v>530948.89687714749</v>
      </c>
    </row>
    <row r="75" spans="2:15">
      <c r="O75" s="261"/>
    </row>
    <row r="76" spans="2:15">
      <c r="B76" s="272" t="s">
        <v>229</v>
      </c>
      <c r="C76" s="278">
        <f>C71-SUM(C73:C74)</f>
        <v>55265.224710282193</v>
      </c>
      <c r="D76" s="278">
        <f t="shared" ref="D76:N76" si="24">D71-SUM(D73:D74)</f>
        <v>72859.506928927047</v>
      </c>
      <c r="E76" s="278">
        <f t="shared" si="24"/>
        <v>89459.022269734822</v>
      </c>
      <c r="F76" s="278">
        <f t="shared" si="24"/>
        <v>78394.601988163049</v>
      </c>
      <c r="G76" s="278">
        <f t="shared" si="24"/>
        <v>96586.780337376927</v>
      </c>
      <c r="H76" s="278">
        <f t="shared" si="24"/>
        <v>83958.951323573041</v>
      </c>
      <c r="I76" s="278">
        <f t="shared" si="24"/>
        <v>87574.467086628487</v>
      </c>
      <c r="J76" s="278">
        <f t="shared" si="24"/>
        <v>133161.70271209424</v>
      </c>
      <c r="K76" s="278">
        <f t="shared" si="24"/>
        <v>78523.087234263789</v>
      </c>
      <c r="L76" s="278">
        <f t="shared" si="24"/>
        <v>84490.096028081491</v>
      </c>
      <c r="M76" s="278">
        <f t="shared" si="24"/>
        <v>82235.15755721672</v>
      </c>
      <c r="N76" s="278">
        <f t="shared" si="24"/>
        <v>73716.248775604676</v>
      </c>
      <c r="O76" s="266">
        <f>O71-SUM(O73:O74)</f>
        <v>1016224.8469519464</v>
      </c>
    </row>
    <row r="77" spans="2:15">
      <c r="B77" s="272" t="s">
        <v>230</v>
      </c>
      <c r="C77" s="276">
        <f>C76/C71</f>
        <v>0.61386709138170081</v>
      </c>
      <c r="D77" s="276">
        <f t="shared" ref="D77:O77" si="25">D76/D71</f>
        <v>0.65490112759738195</v>
      </c>
      <c r="E77" s="276">
        <f t="shared" si="25"/>
        <v>0.66428500572653215</v>
      </c>
      <c r="F77" s="276">
        <f t="shared" si="25"/>
        <v>0.6367447590879961</v>
      </c>
      <c r="G77" s="276">
        <f t="shared" si="25"/>
        <v>0.67222374733638945</v>
      </c>
      <c r="H77" s="276">
        <f t="shared" si="25"/>
        <v>0.63891291003673123</v>
      </c>
      <c r="I77" s="276">
        <f t="shared" si="25"/>
        <v>0.67407539894570112</v>
      </c>
      <c r="J77" s="276">
        <f t="shared" si="25"/>
        <v>0.66141951333754934</v>
      </c>
      <c r="K77" s="276">
        <f t="shared" si="25"/>
        <v>0.65014761091504936</v>
      </c>
      <c r="L77" s="276">
        <f t="shared" si="25"/>
        <v>0.66079645862584424</v>
      </c>
      <c r="M77" s="276">
        <f t="shared" si="25"/>
        <v>0.66331717516206323</v>
      </c>
      <c r="N77" s="276">
        <f t="shared" si="25"/>
        <v>0.65829043694694023</v>
      </c>
      <c r="O77" s="267">
        <f t="shared" si="25"/>
        <v>0.65562893351738472</v>
      </c>
    </row>
    <row r="79" spans="2:15">
      <c r="B79" s="272" t="s">
        <v>231</v>
      </c>
      <c r="C79" s="279">
        <f>'P&amp;LY1'!C36</f>
        <v>5460</v>
      </c>
      <c r="D79" s="279">
        <f>'P&amp;LY1'!D36</f>
        <v>5460</v>
      </c>
      <c r="E79" s="279">
        <f>'P&amp;LY1'!E36</f>
        <v>5460</v>
      </c>
      <c r="F79" s="279">
        <f>'P&amp;LY1'!F36</f>
        <v>5460</v>
      </c>
      <c r="G79" s="279">
        <f>'P&amp;LY1'!G36</f>
        <v>5460</v>
      </c>
      <c r="H79" s="279">
        <f>'P&amp;LY1'!H36</f>
        <v>5460</v>
      </c>
      <c r="I79" s="279">
        <f>'P&amp;LY1'!I36</f>
        <v>5460</v>
      </c>
      <c r="J79" s="279">
        <f>'P&amp;LY1'!J36</f>
        <v>5460</v>
      </c>
      <c r="K79" s="279">
        <f>'P&amp;LY1'!K36</f>
        <v>5460</v>
      </c>
      <c r="L79" s="279">
        <f>'P&amp;LY1'!L36</f>
        <v>5460</v>
      </c>
      <c r="M79" s="279">
        <f>'P&amp;LY1'!M36</f>
        <v>5460</v>
      </c>
      <c r="N79" s="279">
        <f>'P&amp;LY1'!N36</f>
        <v>5460</v>
      </c>
      <c r="O79" s="264">
        <f>SUM(C79:N79)</f>
        <v>65520</v>
      </c>
    </row>
    <row r="81" spans="2:15">
      <c r="B81" s="272" t="s">
        <v>232</v>
      </c>
      <c r="C81" s="279">
        <f>'P&amp;LY1'!C59</f>
        <v>37079.499634971966</v>
      </c>
      <c r="D81" s="279">
        <f>'P&amp;LY1'!D59</f>
        <v>39732.585257423656</v>
      </c>
      <c r="E81" s="279">
        <f>'P&amp;LY1'!E59</f>
        <v>42659.704941882024</v>
      </c>
      <c r="F81" s="279">
        <f>'P&amp;LY1'!F59</f>
        <v>41215.722661488209</v>
      </c>
      <c r="G81" s="279">
        <f>'P&amp;LY1'!G59</f>
        <v>43786.310967905243</v>
      </c>
      <c r="H81" s="279">
        <f>'P&amp;LY1'!H59</f>
        <v>42252.133750910238</v>
      </c>
      <c r="I81" s="279">
        <f>'P&amp;LY1'!I59</f>
        <v>42065.738763571702</v>
      </c>
      <c r="J81" s="279">
        <f>'P&amp;LY1'!J59</f>
        <v>50991.893209015521</v>
      </c>
      <c r="K81" s="279">
        <f>'P&amp;LY1'!K59</f>
        <v>40923.165227552439</v>
      </c>
      <c r="L81" s="279">
        <f>'P&amp;LY1'!L59</f>
        <v>41808.625006000795</v>
      </c>
      <c r="M81" s="279">
        <f>'P&amp;LY1'!M59</f>
        <v>41322.952407633049</v>
      </c>
      <c r="N81" s="279">
        <f>'P&amp;LY1'!N59</f>
        <v>39823.668171645186</v>
      </c>
      <c r="O81" s="264">
        <f>SUM(C81:N81)</f>
        <v>503662.00000000012</v>
      </c>
    </row>
    <row r="83" spans="2:15">
      <c r="B83" s="272" t="s">
        <v>248</v>
      </c>
    </row>
    <row r="84" spans="2:15">
      <c r="B84" s="274" t="s">
        <v>234</v>
      </c>
      <c r="C84" s="278">
        <f>'P&amp;LY1'!C130</f>
        <v>-76.983440909559278</v>
      </c>
      <c r="D84" s="278">
        <f>'P&amp;LY1'!D130</f>
        <v>-262.69441335603483</v>
      </c>
      <c r="E84" s="278">
        <f>'P&amp;LY1'!E130</f>
        <v>1607.4184468834178</v>
      </c>
      <c r="F84" s="278">
        <f>'P&amp;LY1'!F130</f>
        <v>1394.6098279830765</v>
      </c>
      <c r="G84" s="278">
        <f>'P&amp;LY1'!G130</f>
        <v>1177.7218186333344</v>
      </c>
      <c r="H84" s="278">
        <f>'P&amp;LY1'!H130</f>
        <v>1012.0295397623371</v>
      </c>
      <c r="I84" s="278">
        <f>'P&amp;LY1'!I130</f>
        <v>1091.1956646095973</v>
      </c>
      <c r="J84" s="278">
        <f>'P&amp;LY1'!J130</f>
        <v>1059.6581923167025</v>
      </c>
      <c r="K84" s="278">
        <f>'P&amp;LY1'!K130</f>
        <v>1207.1813900592515</v>
      </c>
      <c r="L84" s="278">
        <f>'P&amp;LY1'!L130</f>
        <v>1280.7290940715884</v>
      </c>
      <c r="M84" s="278">
        <f>'P&amp;LY1'!M130</f>
        <v>1345.0191784972965</v>
      </c>
      <c r="N84" s="278">
        <f>'P&amp;LY1'!N130</f>
        <v>1415.7657705802212</v>
      </c>
    </row>
    <row r="85" spans="2:15">
      <c r="B85" s="274" t="s">
        <v>235</v>
      </c>
      <c r="C85" s="279">
        <f>'P&amp;LY1'!C139</f>
        <v>110580.50456329802</v>
      </c>
      <c r="D85" s="279">
        <f>'P&amp;LY1'!D139</f>
        <v>108633.04369356006</v>
      </c>
      <c r="E85" s="279">
        <f>'P&amp;LY1'!E139</f>
        <v>102316.52345493277</v>
      </c>
      <c r="F85" s="279">
        <f>'P&amp;LY1'!F139</f>
        <v>105318.87572012973</v>
      </c>
      <c r="G85" s="279">
        <f>'P&amp;LY1'!G139</f>
        <v>115083.83034306728</v>
      </c>
      <c r="H85" s="279">
        <f>'P&amp;LY1'!H139</f>
        <v>110571.37819290356</v>
      </c>
      <c r="I85" s="279">
        <f>'P&amp;LY1'!I139</f>
        <v>117214.64786678761</v>
      </c>
      <c r="J85" s="279">
        <f>'P&amp;LY1'!J139</f>
        <v>112184.58600241081</v>
      </c>
      <c r="K85" s="279">
        <f>'P&amp;LY1'!K139</f>
        <v>106116.7580850643</v>
      </c>
      <c r="L85" s="279">
        <f>'P&amp;LY1'!L139</f>
        <v>102156.42466593557</v>
      </c>
      <c r="M85" s="279">
        <f>'P&amp;LY1'!M139</f>
        <v>101188.60641709011</v>
      </c>
      <c r="N85" s="279">
        <f>'P&amp;LY1'!N139</f>
        <v>109308.02613795525</v>
      </c>
    </row>
    <row r="87" spans="2:15">
      <c r="B87" s="272" t="s">
        <v>249</v>
      </c>
      <c r="C87" s="278">
        <f>'P&amp;LY1'!C97</f>
        <v>47958.203952921773</v>
      </c>
      <c r="D87" s="278">
        <f>'P&amp;LY1'!D97</f>
        <v>83218.297466609598</v>
      </c>
      <c r="E87" s="278">
        <f>'P&amp;LY1'!E97</f>
        <v>134464.02217285024</v>
      </c>
      <c r="F87" s="278">
        <f>'P&amp;LY1'!F97</f>
        <v>168853.35785322846</v>
      </c>
      <c r="G87" s="278">
        <f>'P&amp;LY1'!G97</f>
        <v>212105.76060911233</v>
      </c>
      <c r="H87" s="278">
        <f>'P&amp;LY1'!H97</f>
        <v>258490.72261080984</v>
      </c>
      <c r="I87" s="278">
        <f>'P&amp;LY1'!I97</f>
        <v>297277.01513513533</v>
      </c>
      <c r="J87" s="278">
        <f>'P&amp;LY1'!J97</f>
        <v>384508.42397488374</v>
      </c>
      <c r="K87" s="278">
        <f>'P&amp;LY1'!K97</f>
        <v>428028.65070119908</v>
      </c>
      <c r="L87" s="278">
        <f>'P&amp;LY1'!L97</f>
        <v>474596.90743839619</v>
      </c>
      <c r="M87" s="278">
        <f>'P&amp;LY1'!M97</f>
        <v>516412.64075239963</v>
      </c>
      <c r="N87" s="278">
        <f>'P&amp;LY1'!N97</f>
        <v>542115.05504341098</v>
      </c>
    </row>
  </sheetData>
  <mergeCells count="1">
    <mergeCell ref="A2:A22"/>
  </mergeCells>
  <phoneticPr fontId="2" type="noConversion"/>
  <pageMargins left="0.75" right="0.75" top="1" bottom="1" header="0.5" footer="0.5"/>
  <pageSetup scale="5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45"/>
  <sheetViews>
    <sheetView zoomScaleNormal="100" workbookViewId="0">
      <pane xSplit="1" ySplit="6" topLeftCell="B100" activePane="bottomRight" state="frozen"/>
      <selection pane="topRight" activeCell="B1" sqref="B1"/>
      <selection pane="bottomLeft" activeCell="A7" sqref="A7"/>
      <selection pane="bottomRight" activeCell="F113" sqref="F113"/>
    </sheetView>
  </sheetViews>
  <sheetFormatPr defaultColWidth="9.1796875" defaultRowHeight="13"/>
  <cols>
    <col min="1" max="1" width="54" style="1" customWidth="1"/>
    <col min="2" max="2" width="19.26953125" style="1" customWidth="1"/>
    <col min="3" max="3" width="12.26953125" style="1" bestFit="1" customWidth="1"/>
    <col min="4" max="4" width="12.1796875" style="1" bestFit="1" customWidth="1"/>
    <col min="5" max="12" width="12.26953125" style="1" bestFit="1" customWidth="1"/>
    <col min="13" max="13" width="12.26953125" style="1" customWidth="1"/>
    <col min="14" max="14" width="12.26953125" style="1" bestFit="1" customWidth="1"/>
    <col min="15" max="15" width="21.453125" style="13" customWidth="1"/>
    <col min="16" max="16" width="16" style="13" customWidth="1"/>
    <col min="17" max="18" width="10.7265625" style="1" customWidth="1"/>
    <col min="19" max="19" width="10.54296875" style="1" hidden="1" customWidth="1"/>
    <col min="20" max="20" width="10.26953125" style="1" hidden="1" customWidth="1"/>
    <col min="21" max="21" width="10.81640625" style="1" hidden="1" customWidth="1"/>
    <col min="22" max="25" width="10.54296875" style="1" hidden="1" customWidth="1"/>
    <col min="26" max="32" width="0" style="1" hidden="1" customWidth="1"/>
    <col min="33" max="16384" width="9.1796875" style="1"/>
  </cols>
  <sheetData>
    <row r="1" spans="1:32">
      <c r="A1" s="172"/>
    </row>
    <row r="2" spans="1:32">
      <c r="A2" s="173" t="str">
        <f>Input!C6</f>
        <v>Bob, Lori &amp; Adam Brown</v>
      </c>
    </row>
    <row r="3" spans="1:32" ht="15.5">
      <c r="A3" s="174">
        <f>Input!C9+366</f>
        <v>44927</v>
      </c>
      <c r="E3" s="16"/>
      <c r="F3" s="16"/>
      <c r="G3" s="16"/>
      <c r="H3" s="2"/>
      <c r="I3" s="2"/>
      <c r="J3" s="106"/>
      <c r="K3" s="107"/>
      <c r="L3" s="37"/>
      <c r="S3" s="108"/>
      <c r="T3" s="108"/>
      <c r="U3" s="175"/>
    </row>
    <row r="4" spans="1:32" ht="15.5">
      <c r="A4" s="176" t="str">
        <f>Input!C7</f>
        <v>Ann Arbor</v>
      </c>
      <c r="B4" s="108"/>
      <c r="C4" s="108"/>
      <c r="D4" s="108"/>
      <c r="E4" s="108"/>
      <c r="F4" s="108"/>
      <c r="G4" s="108"/>
      <c r="H4" s="177"/>
      <c r="I4" s="177"/>
      <c r="J4" s="2"/>
      <c r="K4" s="2"/>
      <c r="L4" s="2"/>
      <c r="M4" s="2"/>
      <c r="N4" s="2"/>
      <c r="O4" s="157"/>
      <c r="P4" s="157"/>
      <c r="Q4" s="2"/>
      <c r="R4" s="2"/>
      <c r="S4" s="2"/>
      <c r="T4" s="2"/>
    </row>
    <row r="5" spans="1:32">
      <c r="A5" s="2"/>
      <c r="B5" s="2"/>
      <c r="C5" s="2"/>
      <c r="D5" s="2"/>
      <c r="E5" s="2"/>
      <c r="F5" s="2"/>
      <c r="G5" s="2"/>
      <c r="H5" s="78"/>
      <c r="I5" s="78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3"/>
      <c r="U5" s="3"/>
    </row>
    <row r="6" spans="1:32" ht="15.5">
      <c r="A6" s="178" t="s">
        <v>145</v>
      </c>
      <c r="B6" s="173" t="s">
        <v>146</v>
      </c>
      <c r="C6" s="374">
        <f>DATE(YEAR('P&amp;LY1'!N6),MONTH('P&amp;LY1'!N6)+1,DAY('P&amp;LY1'!N6))</f>
        <v>44926</v>
      </c>
      <c r="D6" s="374">
        <f>DATE(YEAR(C6),MONTH(C6)+1,DAY(C6))</f>
        <v>44957</v>
      </c>
      <c r="E6" s="374">
        <f t="shared" ref="E6:N6" si="0">DATE(YEAR(D6),MONTH(D6)+1,DAY(D6))</f>
        <v>44985</v>
      </c>
      <c r="F6" s="374">
        <f t="shared" si="0"/>
        <v>45016</v>
      </c>
      <c r="G6" s="374">
        <f t="shared" si="0"/>
        <v>45046</v>
      </c>
      <c r="H6" s="374">
        <f t="shared" si="0"/>
        <v>45077</v>
      </c>
      <c r="I6" s="374">
        <f t="shared" si="0"/>
        <v>45107</v>
      </c>
      <c r="J6" s="374">
        <f t="shared" si="0"/>
        <v>45138</v>
      </c>
      <c r="K6" s="374">
        <f t="shared" si="0"/>
        <v>45169</v>
      </c>
      <c r="L6" s="374">
        <f t="shared" si="0"/>
        <v>45199</v>
      </c>
      <c r="M6" s="374">
        <f t="shared" si="0"/>
        <v>45230</v>
      </c>
      <c r="N6" s="374">
        <f t="shared" si="0"/>
        <v>45260</v>
      </c>
      <c r="O6" s="292" t="s">
        <v>44</v>
      </c>
      <c r="P6" s="293" t="s">
        <v>250</v>
      </c>
      <c r="Q6" s="292"/>
      <c r="R6" s="179"/>
      <c r="S6" s="180"/>
      <c r="T6" s="181"/>
    </row>
    <row r="7" spans="1:32" ht="15.5">
      <c r="A7" s="2"/>
      <c r="B7" s="2"/>
      <c r="C7" s="78" t="s">
        <v>147</v>
      </c>
      <c r="D7" s="78"/>
      <c r="E7" s="78"/>
      <c r="F7" s="78" t="s">
        <v>147</v>
      </c>
      <c r="G7" s="78"/>
      <c r="H7" s="41"/>
      <c r="I7" s="41"/>
      <c r="J7" s="182"/>
      <c r="K7" s="182"/>
      <c r="L7" s="182"/>
      <c r="M7" s="182"/>
      <c r="N7" s="182"/>
      <c r="O7" s="280"/>
      <c r="P7" s="280"/>
      <c r="Q7" s="182"/>
      <c r="R7" s="182"/>
      <c r="S7" s="183"/>
      <c r="T7" s="184"/>
      <c r="U7" s="185"/>
    </row>
    <row r="8" spans="1:32" ht="15.5">
      <c r="A8" s="186" t="s">
        <v>89</v>
      </c>
      <c r="B8" s="187"/>
      <c r="C8" s="188">
        <f>'P&amp;LY1'!C8</f>
        <v>5.8082578761145642E-2</v>
      </c>
      <c r="D8" s="188">
        <f>'P&amp;LY1'!D8</f>
        <v>7.177592390928339E-2</v>
      </c>
      <c r="E8" s="188">
        <f>'P&amp;LY1'!E8</f>
        <v>8.6883638409713665E-2</v>
      </c>
      <c r="F8" s="188">
        <f>'P&amp;LY1'!F8</f>
        <v>7.9430826639939112E-2</v>
      </c>
      <c r="G8" s="188">
        <f>'P&amp;LY1'!G8</f>
        <v>9.2698379189188329E-2</v>
      </c>
      <c r="H8" s="188">
        <f>'P&amp;LY1'!H8</f>
        <v>8.4780045165988333E-2</v>
      </c>
      <c r="I8" s="188">
        <f>'P&amp;LY1'!I8</f>
        <v>8.3818006521660382E-2</v>
      </c>
      <c r="J8" s="188">
        <f>'P&amp;LY1'!J8</f>
        <v>0.12988848107878975</v>
      </c>
      <c r="K8" s="188">
        <f>'P&amp;LY1'!K8</f>
        <v>7.7920852787367406E-2</v>
      </c>
      <c r="L8" s="188">
        <f>'P&amp;LY1'!L8</f>
        <v>8.249096777290732E-2</v>
      </c>
      <c r="M8" s="188">
        <f>'P&amp;LY1'!M8</f>
        <v>7.9984270491009299E-2</v>
      </c>
      <c r="N8" s="188">
        <f>'P&amp;LY1'!N8</f>
        <v>7.2246029273007384E-2</v>
      </c>
      <c r="O8" s="189">
        <f>SUM(C8:N8)</f>
        <v>1</v>
      </c>
      <c r="P8" s="190"/>
      <c r="Q8" s="188"/>
      <c r="R8" s="188"/>
      <c r="S8" s="191"/>
      <c r="T8" s="191"/>
      <c r="U8" s="186"/>
    </row>
    <row r="9" spans="1:32" ht="15.5">
      <c r="A9" s="186"/>
      <c r="B9" s="187"/>
      <c r="C9" s="188"/>
      <c r="D9" s="188"/>
      <c r="E9" s="188"/>
      <c r="F9" s="188"/>
      <c r="G9" s="188"/>
      <c r="H9" s="191"/>
      <c r="I9" s="191"/>
      <c r="J9" s="192"/>
      <c r="K9" s="192"/>
      <c r="L9" s="192"/>
      <c r="M9" s="192"/>
      <c r="N9" s="192"/>
      <c r="O9" s="193"/>
      <c r="P9" s="194"/>
      <c r="Q9" s="192"/>
      <c r="R9" s="192"/>
      <c r="S9" s="191"/>
      <c r="T9" s="191"/>
      <c r="U9" s="186"/>
    </row>
    <row r="10" spans="1:32" s="14" customFormat="1" ht="15.5">
      <c r="A10" s="195" t="s">
        <v>148</v>
      </c>
      <c r="B10" s="196"/>
      <c r="C10" s="197">
        <f>C8*Input!$G$15</f>
        <v>94475.380135516665</v>
      </c>
      <c r="D10" s="197">
        <f>D8*Input!$G$15</f>
        <v>116748.56455312308</v>
      </c>
      <c r="E10" s="197">
        <f>E8*Input!$G$15</f>
        <v>141322.31972808795</v>
      </c>
      <c r="F10" s="197">
        <f>F8*Input!$G$15</f>
        <v>129199.79968772575</v>
      </c>
      <c r="G10" s="197">
        <f>G8*Input!$G$15</f>
        <v>150780.40263775806</v>
      </c>
      <c r="H10" s="197">
        <f>H8*Input!$G$15</f>
        <v>137900.67806564164</v>
      </c>
      <c r="I10" s="197">
        <f>I8*Input!$G$15</f>
        <v>136335.85486793713</v>
      </c>
      <c r="J10" s="197">
        <f>J8*Input!$G$15</f>
        <v>211272.70666832704</v>
      </c>
      <c r="K10" s="197">
        <f>K8*Input!$G$15</f>
        <v>126743.7215183482</v>
      </c>
      <c r="L10" s="197">
        <f>L8*Input!$G$15</f>
        <v>134177.33345037786</v>
      </c>
      <c r="M10" s="197">
        <f>M8*Input!$G$15</f>
        <v>130100.014852561</v>
      </c>
      <c r="N10" s="197">
        <f>N8*Input!$G$15</f>
        <v>117513.22383459561</v>
      </c>
      <c r="O10" s="198">
        <f>SUM(C10:N10)</f>
        <v>1626570.0000000002</v>
      </c>
      <c r="P10" s="281"/>
      <c r="Q10" s="197"/>
      <c r="R10" s="197"/>
      <c r="S10" s="199"/>
      <c r="T10" s="199"/>
      <c r="U10" s="200"/>
    </row>
    <row r="11" spans="1:32" s="14" customFormat="1" ht="15.5">
      <c r="A11" s="201" t="s">
        <v>149</v>
      </c>
      <c r="B11" s="196"/>
      <c r="C11" s="202">
        <f>C8*Input!$I$15</f>
        <v>954.29676904562371</v>
      </c>
      <c r="D11" s="202">
        <f>D8*Input!$I$15</f>
        <v>1179.2784298295271</v>
      </c>
      <c r="E11" s="202">
        <f>E8*Input!$I$15</f>
        <v>1427.4981790715967</v>
      </c>
      <c r="F11" s="202">
        <f>F8*Input!$I$15</f>
        <v>1305.0484816942007</v>
      </c>
      <c r="G11" s="202">
        <f>G8*Input!$I$15</f>
        <v>1523.0343700783656</v>
      </c>
      <c r="H11" s="202">
        <f>H8*Input!$I$15</f>
        <v>1392.9361420771895</v>
      </c>
      <c r="I11" s="202">
        <f>I8*Input!$I$15</f>
        <v>1377.1298471508812</v>
      </c>
      <c r="J11" s="202">
        <f>J8*Input!$I$15</f>
        <v>2134.0677441245175</v>
      </c>
      <c r="K11" s="202">
        <f>K8*Input!$I$15</f>
        <v>1280.2396112964477</v>
      </c>
      <c r="L11" s="202">
        <f>L8*Input!$I$15</f>
        <v>1355.3266005088685</v>
      </c>
      <c r="M11" s="202">
        <f>M8*Input!$I$15</f>
        <v>1314.1415641672838</v>
      </c>
      <c r="N11" s="202">
        <f>N8*Input!$I$15</f>
        <v>1187.0022609555124</v>
      </c>
      <c r="O11" s="203">
        <f>SUM(C11:N11)</f>
        <v>16430.000000000015</v>
      </c>
      <c r="P11" s="282"/>
      <c r="Q11" s="199"/>
      <c r="R11" s="199"/>
      <c r="S11" s="199"/>
      <c r="T11" s="199"/>
      <c r="U11" s="196"/>
    </row>
    <row r="12" spans="1:32" ht="15.5">
      <c r="A12" s="353" t="s">
        <v>150</v>
      </c>
      <c r="B12" s="354"/>
      <c r="C12" s="355">
        <f t="shared" ref="C12:N12" si="1">SUM(C10:C11)</f>
        <v>95429.676904562293</v>
      </c>
      <c r="D12" s="355">
        <f t="shared" si="1"/>
        <v>117927.84298295261</v>
      </c>
      <c r="E12" s="355">
        <f t="shared" si="1"/>
        <v>142749.81790715954</v>
      </c>
      <c r="F12" s="355">
        <f t="shared" si="1"/>
        <v>130504.84816941996</v>
      </c>
      <c r="G12" s="355">
        <f t="shared" si="1"/>
        <v>152303.43700783642</v>
      </c>
      <c r="H12" s="355">
        <f t="shared" si="1"/>
        <v>139293.61420771884</v>
      </c>
      <c r="I12" s="355">
        <f t="shared" si="1"/>
        <v>137712.98471508801</v>
      </c>
      <c r="J12" s="355">
        <f t="shared" si="1"/>
        <v>213406.77441245154</v>
      </c>
      <c r="K12" s="355">
        <f t="shared" si="1"/>
        <v>128023.96112964465</v>
      </c>
      <c r="L12" s="355">
        <f t="shared" si="1"/>
        <v>135532.66005088674</v>
      </c>
      <c r="M12" s="355">
        <f t="shared" si="1"/>
        <v>131414.15641672828</v>
      </c>
      <c r="N12" s="355">
        <f t="shared" si="1"/>
        <v>118700.22609555113</v>
      </c>
      <c r="O12" s="356">
        <f>SUM(C12:N12)</f>
        <v>1643000</v>
      </c>
      <c r="P12" s="194">
        <f>O12/$O$12</f>
        <v>1</v>
      </c>
      <c r="Q12" s="41"/>
      <c r="R12" s="41"/>
      <c r="S12" s="41"/>
      <c r="T12" s="107"/>
    </row>
    <row r="13" spans="1:32" ht="15.5">
      <c r="A13" s="107"/>
      <c r="B13" s="2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204"/>
      <c r="P13" s="219"/>
      <c r="Q13" s="41"/>
      <c r="R13" s="41"/>
      <c r="S13" s="41"/>
      <c r="T13" s="107"/>
    </row>
    <row r="14" spans="1:32" ht="15.5">
      <c r="A14" s="107" t="s">
        <v>151</v>
      </c>
      <c r="B14" s="2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204"/>
      <c r="P14" s="219"/>
      <c r="Q14" s="41"/>
      <c r="R14" s="41"/>
      <c r="S14" s="41"/>
      <c r="T14" s="41"/>
      <c r="U14" s="205"/>
    </row>
    <row r="15" spans="1:32" ht="15.5">
      <c r="A15" s="337" t="s">
        <v>152</v>
      </c>
      <c r="B15" s="2"/>
      <c r="C15" s="338">
        <f>VLOOKUP(MONTH(C6),Input!$R$67:$V$78,3)</f>
        <v>0.62313071548839205</v>
      </c>
      <c r="D15" s="338">
        <f>VLOOKUP(MONTH(D6),Input!$R$67:$V$78,3)</f>
        <v>0.66472673163493012</v>
      </c>
      <c r="E15" s="338">
        <f>VLOOKUP(MONTH(E6),Input!$R$67:$V$78,3)</f>
        <v>0.67369634362190223</v>
      </c>
      <c r="F15" s="338">
        <f>VLOOKUP(MONTH(F6),Input!$R$67:$V$78,3)</f>
        <v>0.64631595145406173</v>
      </c>
      <c r="G15" s="338">
        <f>VLOOKUP(MONTH(G6),Input!$R$67:$V$78,3)</f>
        <v>0.68169609480403048</v>
      </c>
      <c r="H15" s="338">
        <f>VLOOKUP(MONTH(H6),Input!$R$67:$V$78,3)</f>
        <v>0.64791520721855478</v>
      </c>
      <c r="I15" s="338">
        <f>VLOOKUP(MONTH(I6),Input!$R$67:$V$78,3)</f>
        <v>0.68155953075098852</v>
      </c>
      <c r="J15" s="338">
        <f>VLOOKUP(MONTH(J6),Input!$R$67:$V$78,3)</f>
        <v>0.66905588371727709</v>
      </c>
      <c r="K15" s="338">
        <f>VLOOKUP(MONTH(K6),Input!$R$67:$V$78,3)</f>
        <v>0.65687710627825102</v>
      </c>
      <c r="L15" s="338">
        <f>VLOOKUP(MONTH(L6),Input!$R$67:$V$78,3)</f>
        <v>0.66820333359788675</v>
      </c>
      <c r="M15" s="338">
        <f>VLOOKUP(MONTH(M6),Input!$R$67:$V$78,3)</f>
        <v>0.67085105064542794</v>
      </c>
      <c r="N15" s="338">
        <f>VLOOKUP(MONTH(N6),Input!$R$67:$V$78,3)</f>
        <v>0.66581541452187365</v>
      </c>
      <c r="O15" s="204"/>
      <c r="P15" s="219"/>
      <c r="Q15" s="41"/>
      <c r="R15" s="41"/>
      <c r="S15" s="41"/>
      <c r="T15" s="41"/>
      <c r="U15" s="205"/>
    </row>
    <row r="16" spans="1:32" ht="15.5">
      <c r="A16" s="107" t="s">
        <v>153</v>
      </c>
      <c r="B16" s="2"/>
      <c r="C16" s="41">
        <f>C10*(1-C15)</f>
        <v>35604.868915634346</v>
      </c>
      <c r="D16" s="41">
        <f t="shared" ref="D16:N16" si="2">D10*(1-D15)</f>
        <v>39142.672814655918</v>
      </c>
      <c r="E16" s="41">
        <f t="shared" si="2"/>
        <v>46113.989655109683</v>
      </c>
      <c r="F16" s="41">
        <f t="shared" si="2"/>
        <v>45695.908224879095</v>
      </c>
      <c r="G16" s="41">
        <f t="shared" si="2"/>
        <v>47993.99098661905</v>
      </c>
      <c r="H16" s="41">
        <f t="shared" si="2"/>
        <v>48552.731661162223</v>
      </c>
      <c r="I16" s="41">
        <f t="shared" si="2"/>
        <v>43414.853599611029</v>
      </c>
      <c r="J16" s="41">
        <f t="shared" si="2"/>
        <v>69919.459203008431</v>
      </c>
      <c r="K16" s="41">
        <f t="shared" si="2"/>
        <v>43488.672488439137</v>
      </c>
      <c r="L16" s="41">
        <f t="shared" si="2"/>
        <v>44519.591945560132</v>
      </c>
      <c r="M16" s="41">
        <f t="shared" si="2"/>
        <v>42822.283199734673</v>
      </c>
      <c r="N16" s="41">
        <f t="shared" si="2"/>
        <v>39271.10799536261</v>
      </c>
      <c r="O16" s="198">
        <f>SUM(C16:N16)</f>
        <v>546540.13068977639</v>
      </c>
      <c r="P16" s="194">
        <f>O16/$O$12</f>
        <v>0.33264767540461132</v>
      </c>
      <c r="Q16" s="41"/>
      <c r="R16" s="41"/>
      <c r="S16" s="206">
        <f t="shared" ref="S16:Y16" si="3">AVERAGE($C$16:$N$16)</f>
        <v>45545.010890814701</v>
      </c>
      <c r="T16" s="206">
        <f t="shared" si="3"/>
        <v>45545.010890814701</v>
      </c>
      <c r="U16" s="206">
        <f t="shared" si="3"/>
        <v>45545.010890814701</v>
      </c>
      <c r="V16" s="206">
        <f t="shared" si="3"/>
        <v>45545.010890814701</v>
      </c>
      <c r="W16" s="206">
        <f t="shared" si="3"/>
        <v>45545.010890814701</v>
      </c>
      <c r="X16" s="206">
        <f t="shared" si="3"/>
        <v>45545.010890814701</v>
      </c>
      <c r="Y16" s="206">
        <f t="shared" si="3"/>
        <v>45545.010890814701</v>
      </c>
      <c r="Z16" s="171"/>
      <c r="AA16" s="171"/>
      <c r="AB16" s="171"/>
      <c r="AC16" s="171"/>
      <c r="AD16" s="171"/>
      <c r="AE16" s="171"/>
      <c r="AF16" s="171"/>
    </row>
    <row r="17" spans="1:32" s="14" customFormat="1" ht="15.5">
      <c r="A17" s="207" t="s">
        <v>154</v>
      </c>
      <c r="B17" s="196"/>
      <c r="C17" s="197">
        <f>C12*Input!$P$57</f>
        <v>1192.8709613070287</v>
      </c>
      <c r="D17" s="197">
        <f>D12*Input!$P$57</f>
        <v>1474.0980372869078</v>
      </c>
      <c r="E17" s="197">
        <f>E12*Input!$P$57</f>
        <v>1784.3727238394943</v>
      </c>
      <c r="F17" s="197">
        <f>F12*Input!$P$57</f>
        <v>1631.3106021177496</v>
      </c>
      <c r="G17" s="197">
        <f>G12*Input!$P$57</f>
        <v>1903.7929625979552</v>
      </c>
      <c r="H17" s="197">
        <f>H12*Input!$P$57</f>
        <v>1741.1701775964857</v>
      </c>
      <c r="I17" s="197">
        <f>I12*Input!$P$57</f>
        <v>1721.4123089386003</v>
      </c>
      <c r="J17" s="197">
        <f>J12*Input!$P$57</f>
        <v>2667.5846801556445</v>
      </c>
      <c r="K17" s="197">
        <f>K12*Input!$P$57</f>
        <v>1600.2995141205583</v>
      </c>
      <c r="L17" s="197">
        <f>L12*Input!$P$57</f>
        <v>1694.1582506360844</v>
      </c>
      <c r="M17" s="197">
        <f>M12*Input!$P$57</f>
        <v>1642.6769552091037</v>
      </c>
      <c r="N17" s="197">
        <f>N12*Input!$P$57</f>
        <v>1483.7528261943892</v>
      </c>
      <c r="O17" s="198">
        <f>SUM(C17:N17)</f>
        <v>20537.499999999996</v>
      </c>
      <c r="P17" s="194">
        <f>O17/$O$12</f>
        <v>1.2499999999999997E-2</v>
      </c>
      <c r="Q17" s="197"/>
      <c r="R17" s="197"/>
      <c r="S17" s="208"/>
      <c r="T17" s="208"/>
      <c r="U17" s="209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</row>
    <row r="18" spans="1:32" ht="15.5">
      <c r="A18" s="107" t="s">
        <v>155</v>
      </c>
      <c r="B18" s="2"/>
      <c r="C18" s="41">
        <f>C11*Input!$P$56</f>
        <v>0</v>
      </c>
      <c r="D18" s="41">
        <f>D11*Input!$P$56</f>
        <v>0</v>
      </c>
      <c r="E18" s="41">
        <f>E11*Input!$P$56</f>
        <v>0</v>
      </c>
      <c r="F18" s="41">
        <f>F11*Input!$P$56</f>
        <v>0</v>
      </c>
      <c r="G18" s="41">
        <f>G11*Input!$P$56</f>
        <v>0</v>
      </c>
      <c r="H18" s="41">
        <f>H11*Input!$P$56</f>
        <v>0</v>
      </c>
      <c r="I18" s="41">
        <f>I11*Input!$P$56</f>
        <v>0</v>
      </c>
      <c r="J18" s="41">
        <f>J11*Input!$P$56</f>
        <v>0</v>
      </c>
      <c r="K18" s="41">
        <f>K11*Input!$P$56</f>
        <v>0</v>
      </c>
      <c r="L18" s="41">
        <f>L11*Input!$P$56</f>
        <v>0</v>
      </c>
      <c r="M18" s="41">
        <f>M11*Input!$P$56</f>
        <v>0</v>
      </c>
      <c r="N18" s="41">
        <f>N11*Input!$P$56</f>
        <v>0</v>
      </c>
      <c r="O18" s="198">
        <f>SUM(C18:N18)</f>
        <v>0</v>
      </c>
      <c r="P18" s="194">
        <f>O18/$O$12</f>
        <v>0</v>
      </c>
      <c r="Q18" s="41"/>
      <c r="R18" s="41"/>
      <c r="S18" s="206"/>
      <c r="T18" s="206"/>
      <c r="U18" s="21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</row>
    <row r="19" spans="1:32" ht="15.5">
      <c r="A19" s="337" t="s">
        <v>156</v>
      </c>
      <c r="B19" s="2"/>
      <c r="C19" s="338">
        <f>VLOOKUP(MONTH(C6),Input!$R$67:$V$78,5)</f>
        <v>0.69676830481927698</v>
      </c>
      <c r="D19" s="338">
        <f>VLOOKUP(MONTH(D6),Input!$R$67:$V$78,5)</f>
        <v>0.68216632788012099</v>
      </c>
      <c r="E19" s="338">
        <f>VLOOKUP(MONTH(E6),Input!$R$67:$V$78,5)</f>
        <v>0.73256255408489279</v>
      </c>
      <c r="F19" s="338">
        <f>VLOOKUP(MONTH(F6),Input!$R$67:$V$78,5)</f>
        <v>0.68919671484750067</v>
      </c>
      <c r="G19" s="338">
        <f>VLOOKUP(MONTH(G6),Input!$R$67:$V$78,5)</f>
        <v>0.73446134803993379</v>
      </c>
      <c r="H19" s="338">
        <f>VLOOKUP(MONTH(H6),Input!$R$67:$V$78,5)</f>
        <v>0.74768548903620602</v>
      </c>
      <c r="I19" s="338">
        <f>VLOOKUP(MONTH(I6),Input!$R$67:$V$78,5)</f>
        <v>0.9331463502222509</v>
      </c>
      <c r="J19" s="338">
        <f>VLOOKUP(MONTH(J6),Input!$R$67:$V$78,5)</f>
        <v>0.90541884574449516</v>
      </c>
      <c r="K19" s="338">
        <f>VLOOKUP(MONTH(K6),Input!$R$67:$V$78,5)</f>
        <v>0.98392756995808672</v>
      </c>
      <c r="L19" s="338">
        <f>VLOOKUP(MONTH(L6),Input!$R$67:$V$78,5)</f>
        <v>0.92751583639363078</v>
      </c>
      <c r="M19" s="338">
        <f>VLOOKUP(MONTH(M6),Input!$R$67:$V$78,5)</f>
        <v>0.91746350230896101</v>
      </c>
      <c r="N19" s="338">
        <f>VLOOKUP(MONTH(N6),Input!$R$67:$V$78,5)</f>
        <v>0.91331765702852707</v>
      </c>
      <c r="O19" s="198"/>
      <c r="P19" s="194"/>
      <c r="Q19" s="41"/>
      <c r="R19" s="41"/>
      <c r="S19" s="206"/>
      <c r="T19" s="206"/>
      <c r="U19" s="21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</row>
    <row r="20" spans="1:32" ht="15.5">
      <c r="A20" s="212" t="s">
        <v>157</v>
      </c>
      <c r="B20" s="2"/>
      <c r="C20" s="41">
        <f>C11*(1-Input!$V67)</f>
        <v>289.37302698319138</v>
      </c>
      <c r="D20" s="41">
        <f>D11*(1-Input!$V68)</f>
        <v>374.81439380448364</v>
      </c>
      <c r="E20" s="41">
        <f>E11*(1-Input!$V69)</f>
        <v>381.76646705937418</v>
      </c>
      <c r="F20" s="41">
        <f>F11*(1-Input!$V70)</f>
        <v>405.61335539383896</v>
      </c>
      <c r="G20" s="41">
        <f>G11*(1-Input!$V71)</f>
        <v>404.42449351945777</v>
      </c>
      <c r="H20" s="41">
        <f>H11*(1-Input!$V72)</f>
        <v>351.45800149199994</v>
      </c>
      <c r="I20" s="41">
        <f>I11*(1-Input!$V73)</f>
        <v>92.066156499910164</v>
      </c>
      <c r="J20" s="41">
        <f>J11*(1-Input!$V74)</f>
        <v>201.84259049873822</v>
      </c>
      <c r="K20" s="41">
        <f>K11*(1-Input!$V75)</f>
        <v>20.576561589448403</v>
      </c>
      <c r="L20" s="41">
        <f>L11*(1-Input!$V76)</f>
        <v>98.239715051349052</v>
      </c>
      <c r="M20" s="41">
        <f>M11*(1-Input!$V77)</f>
        <v>108.46464217659138</v>
      </c>
      <c r="N20" s="41">
        <f>N11*(1-Input!$V78)</f>
        <v>102.89213709205953</v>
      </c>
      <c r="O20" s="213">
        <f>SUM(C20:N20)</f>
        <v>2831.531541160442</v>
      </c>
      <c r="P20" s="194">
        <f>O20/$O$12</f>
        <v>1.7233910780039209E-3</v>
      </c>
      <c r="Q20" s="41"/>
      <c r="R20" s="41"/>
      <c r="S20" s="206">
        <f>AVERAGE($C20:$N20)</f>
        <v>235.96096176337016</v>
      </c>
      <c r="T20" s="206">
        <f t="shared" ref="T20:AF20" si="4">AVERAGE($C20:$N20)</f>
        <v>235.96096176337016</v>
      </c>
      <c r="U20" s="206">
        <f t="shared" si="4"/>
        <v>235.96096176337016</v>
      </c>
      <c r="V20" s="206">
        <f t="shared" si="4"/>
        <v>235.96096176337016</v>
      </c>
      <c r="W20" s="206">
        <f t="shared" si="4"/>
        <v>235.96096176337016</v>
      </c>
      <c r="X20" s="206">
        <f t="shared" si="4"/>
        <v>235.96096176337016</v>
      </c>
      <c r="Y20" s="206">
        <f t="shared" si="4"/>
        <v>235.96096176337016</v>
      </c>
      <c r="Z20" s="206">
        <f t="shared" si="4"/>
        <v>235.96096176337016</v>
      </c>
      <c r="AA20" s="206">
        <f t="shared" si="4"/>
        <v>235.96096176337016</v>
      </c>
      <c r="AB20" s="206">
        <f t="shared" si="4"/>
        <v>235.96096176337016</v>
      </c>
      <c r="AC20" s="206">
        <f t="shared" si="4"/>
        <v>235.96096176337016</v>
      </c>
      <c r="AD20" s="206">
        <f t="shared" si="4"/>
        <v>235.96096176337016</v>
      </c>
      <c r="AE20" s="206">
        <f t="shared" si="4"/>
        <v>235.96096176337016</v>
      </c>
      <c r="AF20" s="206">
        <f t="shared" si="4"/>
        <v>235.96096176337016</v>
      </c>
    </row>
    <row r="21" spans="1:32" ht="15.5">
      <c r="A21" s="107"/>
      <c r="B21" s="2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04"/>
      <c r="P21" s="219"/>
      <c r="Q21" s="41"/>
      <c r="R21" s="41"/>
      <c r="S21" s="41"/>
      <c r="T21" s="41"/>
      <c r="U21" s="205"/>
    </row>
    <row r="22" spans="1:32" ht="15.5">
      <c r="A22" s="107" t="s">
        <v>158</v>
      </c>
      <c r="B22" s="2"/>
      <c r="C22" s="215">
        <f t="shared" ref="C22:N22" si="5">SUM(C16:C20)</f>
        <v>37087.809672229392</v>
      </c>
      <c r="D22" s="215">
        <f t="shared" si="5"/>
        <v>40992.267412075191</v>
      </c>
      <c r="E22" s="215">
        <f t="shared" si="5"/>
        <v>48280.861408562632</v>
      </c>
      <c r="F22" s="215">
        <f t="shared" si="5"/>
        <v>47733.521379105536</v>
      </c>
      <c r="G22" s="215">
        <f t="shared" si="5"/>
        <v>50302.942904084499</v>
      </c>
      <c r="H22" s="215">
        <f t="shared" si="5"/>
        <v>50646.107525739739</v>
      </c>
      <c r="I22" s="215">
        <f t="shared" si="5"/>
        <v>45229.265211399761</v>
      </c>
      <c r="J22" s="215">
        <f t="shared" si="5"/>
        <v>72789.791892508554</v>
      </c>
      <c r="K22" s="215">
        <f t="shared" si="5"/>
        <v>45110.532491719103</v>
      </c>
      <c r="L22" s="215">
        <f t="shared" si="5"/>
        <v>46312.917427083965</v>
      </c>
      <c r="M22" s="215">
        <f t="shared" si="5"/>
        <v>44574.342260622681</v>
      </c>
      <c r="N22" s="215">
        <f t="shared" si="5"/>
        <v>40858.666276306089</v>
      </c>
      <c r="O22" s="213">
        <f>SUM(C22:N22)</f>
        <v>569919.0258614372</v>
      </c>
      <c r="P22" s="194">
        <f>O22/$O$12</f>
        <v>0.34687706990957834</v>
      </c>
      <c r="Q22" s="41"/>
      <c r="R22" s="41"/>
      <c r="S22" s="41"/>
      <c r="T22" s="107"/>
      <c r="U22" s="205"/>
    </row>
    <row r="23" spans="1:32" ht="15.5">
      <c r="A23" s="107" t="s">
        <v>147</v>
      </c>
      <c r="B23" s="2"/>
      <c r="C23" s="41" t="s">
        <v>147</v>
      </c>
      <c r="D23" s="41" t="s">
        <v>147</v>
      </c>
      <c r="E23" s="41" t="s">
        <v>147</v>
      </c>
      <c r="F23" s="41" t="s">
        <v>147</v>
      </c>
      <c r="G23" s="41" t="s">
        <v>147</v>
      </c>
      <c r="H23" s="41" t="s">
        <v>147</v>
      </c>
      <c r="I23" s="41" t="s">
        <v>147</v>
      </c>
      <c r="J23" s="41" t="s">
        <v>147</v>
      </c>
      <c r="K23" s="41" t="s">
        <v>147</v>
      </c>
      <c r="L23" s="41" t="s">
        <v>147</v>
      </c>
      <c r="M23" s="41" t="s">
        <v>147</v>
      </c>
      <c r="N23" s="41" t="s">
        <v>147</v>
      </c>
      <c r="O23" s="204"/>
      <c r="P23" s="219"/>
      <c r="Q23" s="41"/>
      <c r="R23" s="41"/>
      <c r="S23" s="41"/>
      <c r="T23" s="41"/>
      <c r="U23" s="37"/>
    </row>
    <row r="24" spans="1:32" ht="15.5">
      <c r="A24" s="42" t="s">
        <v>159</v>
      </c>
      <c r="B24" s="2"/>
      <c r="C24" s="41">
        <f t="shared" ref="C24:N24" si="6">C12-C22</f>
        <v>58341.867232332901</v>
      </c>
      <c r="D24" s="41">
        <f t="shared" si="6"/>
        <v>76935.575570877423</v>
      </c>
      <c r="E24" s="41">
        <f t="shared" si="6"/>
        <v>94468.956498596905</v>
      </c>
      <c r="F24" s="41">
        <f t="shared" si="6"/>
        <v>82771.32679031443</v>
      </c>
      <c r="G24" s="41">
        <f t="shared" si="6"/>
        <v>102000.49410375192</v>
      </c>
      <c r="H24" s="41">
        <f t="shared" si="6"/>
        <v>88647.50668197911</v>
      </c>
      <c r="I24" s="41">
        <f t="shared" si="6"/>
        <v>92483.719503688248</v>
      </c>
      <c r="J24" s="41">
        <f t="shared" si="6"/>
        <v>140616.98251994298</v>
      </c>
      <c r="K24" s="41">
        <f t="shared" si="6"/>
        <v>82913.42863792555</v>
      </c>
      <c r="L24" s="41">
        <f t="shared" si="6"/>
        <v>89219.742623802769</v>
      </c>
      <c r="M24" s="41">
        <f t="shared" si="6"/>
        <v>86839.814156105596</v>
      </c>
      <c r="N24" s="41">
        <f t="shared" si="6"/>
        <v>77841.559819245042</v>
      </c>
      <c r="O24" s="198">
        <f>SUM(C24:N24)</f>
        <v>1073080.974138563</v>
      </c>
      <c r="P24" s="194">
        <f>O24/$O$12</f>
        <v>0.65312293009042177</v>
      </c>
      <c r="Q24" s="41"/>
      <c r="R24" s="41"/>
      <c r="S24" s="216"/>
      <c r="T24" s="205"/>
      <c r="U24" s="205"/>
    </row>
    <row r="25" spans="1:32" ht="15.5">
      <c r="A25" s="205" t="s">
        <v>45</v>
      </c>
      <c r="B25" s="217"/>
      <c r="C25" s="216">
        <f t="shared" ref="C25:O25" si="7">C24/C12</f>
        <v>0.61135979000201035</v>
      </c>
      <c r="D25" s="216">
        <f t="shared" si="7"/>
        <v>0.65239534298951829</v>
      </c>
      <c r="E25" s="216">
        <f t="shared" si="7"/>
        <v>0.66177987393326732</v>
      </c>
      <c r="F25" s="216">
        <f t="shared" si="7"/>
        <v>0.63423947808330927</v>
      </c>
      <c r="G25" s="216">
        <f t="shared" si="7"/>
        <v>0.66971892498068653</v>
      </c>
      <c r="H25" s="216">
        <f t="shared" si="7"/>
        <v>0.63640754234279018</v>
      </c>
      <c r="I25" s="216">
        <f t="shared" si="7"/>
        <v>0.6715686229227128</v>
      </c>
      <c r="J25" s="216">
        <f t="shared" si="7"/>
        <v>0.6589152706472774</v>
      </c>
      <c r="K25" s="216">
        <f t="shared" si="7"/>
        <v>0.64763992541960558</v>
      </c>
      <c r="L25" s="216">
        <f t="shared" si="7"/>
        <v>0.65828961514003015</v>
      </c>
      <c r="M25" s="216">
        <f t="shared" si="7"/>
        <v>0.66081019369577887</v>
      </c>
      <c r="N25" s="216">
        <f t="shared" si="7"/>
        <v>0.65578274262581659</v>
      </c>
      <c r="O25" s="218">
        <f t="shared" si="7"/>
        <v>0.65312293009042177</v>
      </c>
      <c r="P25" s="219"/>
      <c r="Q25" s="216"/>
      <c r="R25" s="216"/>
      <c r="S25" s="41"/>
      <c r="T25" s="107"/>
      <c r="U25" s="37"/>
    </row>
    <row r="26" spans="1:32" ht="15.5">
      <c r="A26" s="2" t="s">
        <v>147</v>
      </c>
      <c r="B26" s="2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204"/>
      <c r="P26" s="219"/>
      <c r="Q26" s="41"/>
      <c r="R26" s="41"/>
      <c r="S26" s="41"/>
      <c r="T26" s="107"/>
      <c r="U26" s="37"/>
    </row>
    <row r="27" spans="1:32" ht="15.5">
      <c r="A27" s="2" t="s">
        <v>147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204"/>
      <c r="P27" s="219"/>
      <c r="Q27" s="41"/>
      <c r="R27" s="41"/>
      <c r="S27" s="41"/>
      <c r="T27" s="107"/>
      <c r="U27" s="37"/>
    </row>
    <row r="28" spans="1:32" ht="15.5">
      <c r="A28" s="42" t="s">
        <v>160</v>
      </c>
      <c r="B28" s="2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204"/>
      <c r="P28" s="219"/>
      <c r="Q28" s="41"/>
      <c r="R28" s="41"/>
      <c r="S28" s="41"/>
      <c r="T28" s="41"/>
      <c r="U28" s="205"/>
    </row>
    <row r="29" spans="1:32" ht="15.5">
      <c r="A29" s="31" t="s">
        <v>161</v>
      </c>
      <c r="B29" s="2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204"/>
      <c r="P29" s="219"/>
      <c r="Q29" s="41"/>
      <c r="R29" s="41"/>
      <c r="S29" s="41"/>
      <c r="T29" s="41"/>
      <c r="U29" s="205"/>
    </row>
    <row r="30" spans="1:32" ht="15.5">
      <c r="A30" s="8" t="str">
        <f>Input!C19</f>
        <v>OWNER</v>
      </c>
      <c r="B30" s="2"/>
      <c r="C30" s="41">
        <f>Input!$C$22/12</f>
        <v>0</v>
      </c>
      <c r="D30" s="41">
        <f>Input!$C$22/12</f>
        <v>0</v>
      </c>
      <c r="E30" s="41">
        <f>Input!$C$22/12</f>
        <v>0</v>
      </c>
      <c r="F30" s="41">
        <f>Input!$C$22/12</f>
        <v>0</v>
      </c>
      <c r="G30" s="41">
        <f>Input!$C$22/12</f>
        <v>0</v>
      </c>
      <c r="H30" s="41">
        <f>Input!$C$22/12</f>
        <v>0</v>
      </c>
      <c r="I30" s="41">
        <f>Input!$C$22/12</f>
        <v>0</v>
      </c>
      <c r="J30" s="41">
        <f>Input!$C$22/12</f>
        <v>0</v>
      </c>
      <c r="K30" s="41">
        <f>Input!$C$22/12</f>
        <v>0</v>
      </c>
      <c r="L30" s="41">
        <f>Input!$C$22/12</f>
        <v>0</v>
      </c>
      <c r="M30" s="41">
        <f>Input!$C$22/12</f>
        <v>0</v>
      </c>
      <c r="N30" s="41">
        <f>Input!$C$22/12</f>
        <v>0</v>
      </c>
      <c r="O30" s="198">
        <f t="shared" ref="O30:O35" si="8">SUM(C30:N30)</f>
        <v>0</v>
      </c>
      <c r="P30" s="194">
        <f t="shared" ref="P30:P35" si="9">O30/$O$12</f>
        <v>0</v>
      </c>
      <c r="Q30" s="41"/>
      <c r="R30" s="41"/>
      <c r="S30" s="41"/>
      <c r="T30" s="41"/>
      <c r="U30" s="205"/>
    </row>
    <row r="31" spans="1:32" ht="15.5">
      <c r="A31" s="8" t="str">
        <f>Input!C25</f>
        <v>MANAGER</v>
      </c>
      <c r="B31" s="526"/>
      <c r="C31" s="41">
        <f>(Input!$C$28+Input!$E$28)/12+(Input!$G$28*Input!$C$15)/12</f>
        <v>5000</v>
      </c>
      <c r="D31" s="41">
        <f>(Input!$C$28+Input!$E$28)/12+(Input!$G$28*Input!$C$15)/12</f>
        <v>5000</v>
      </c>
      <c r="E31" s="41">
        <f>(Input!$C$28+Input!$E$28)/12+(Input!$G$28*Input!$C$15)/12</f>
        <v>5000</v>
      </c>
      <c r="F31" s="41">
        <f>(Input!$C$28+Input!$E$28)/12+(Input!$G$28*Input!$C$15)/12</f>
        <v>5000</v>
      </c>
      <c r="G31" s="41">
        <f>(Input!$C$28+Input!$E$28)/12+(Input!$G$28*Input!$C$15)/12</f>
        <v>5000</v>
      </c>
      <c r="H31" s="41">
        <f>(Input!$C$28+Input!$E$28)/12+(Input!$G$28*Input!$C$15)/12</f>
        <v>5000</v>
      </c>
      <c r="I31" s="41">
        <f>(Input!$C$28+Input!$E$28)/12+(Input!$G$28*Input!$C$15)/12</f>
        <v>5000</v>
      </c>
      <c r="J31" s="41">
        <f>(Input!$C$28+Input!$E$28)/12+(Input!$G$28*Input!$C$15)/12</f>
        <v>5000</v>
      </c>
      <c r="K31" s="41">
        <f>(Input!$C$28+Input!$E$28)/12+(Input!$G$28*Input!$C$15)/12</f>
        <v>5000</v>
      </c>
      <c r="L31" s="41">
        <f>(Input!$C$28+Input!$E$28)/12+(Input!$G$28*Input!$C$15)/12</f>
        <v>5000</v>
      </c>
      <c r="M31" s="41">
        <f>(Input!$C$28+Input!$E$28)/12+(Input!$G$28*Input!$C$15)/12</f>
        <v>5000</v>
      </c>
      <c r="N31" s="41">
        <f>(Input!$C$28+Input!$E$28)/12+(Input!$G$28*Input!$C$15)/12</f>
        <v>5000</v>
      </c>
      <c r="O31" s="198">
        <f t="shared" si="8"/>
        <v>60000</v>
      </c>
      <c r="P31" s="194">
        <f t="shared" si="9"/>
        <v>3.6518563603164945E-2</v>
      </c>
      <c r="Q31" s="41"/>
      <c r="R31" s="41"/>
      <c r="S31" s="41"/>
      <c r="T31" s="41"/>
      <c r="U31" s="205"/>
    </row>
    <row r="32" spans="1:32" ht="15.5">
      <c r="A32" s="8" t="str">
        <f>Input!J6</f>
        <v>HOURLY LABOR COST</v>
      </c>
      <c r="B32" s="2"/>
      <c r="C32" s="41">
        <f>Input!$N$6*C8</f>
        <v>0</v>
      </c>
      <c r="D32" s="41">
        <f>Input!$N$6*D8</f>
        <v>0</v>
      </c>
      <c r="E32" s="41">
        <f>Input!$N$6*E8</f>
        <v>0</v>
      </c>
      <c r="F32" s="41">
        <f>Input!$N$6*F8</f>
        <v>0</v>
      </c>
      <c r="G32" s="41">
        <f>Input!$N$6*G8</f>
        <v>0</v>
      </c>
      <c r="H32" s="41">
        <f>Input!$N$6*H8</f>
        <v>0</v>
      </c>
      <c r="I32" s="41">
        <f>Input!$N$6*I8</f>
        <v>0</v>
      </c>
      <c r="J32" s="41">
        <f>Input!$N$6*J8</f>
        <v>0</v>
      </c>
      <c r="K32" s="41">
        <f>Input!$N$6*K8</f>
        <v>0</v>
      </c>
      <c r="L32" s="41">
        <f>Input!$N$6*L8</f>
        <v>0</v>
      </c>
      <c r="M32" s="41">
        <f>Input!$N$6*M8</f>
        <v>0</v>
      </c>
      <c r="N32" s="41">
        <f>Input!$N$6*N8</f>
        <v>0</v>
      </c>
      <c r="O32" s="198">
        <f t="shared" si="8"/>
        <v>0</v>
      </c>
      <c r="P32" s="194">
        <f t="shared" si="9"/>
        <v>0</v>
      </c>
      <c r="Q32" s="41"/>
      <c r="R32" s="41"/>
      <c r="S32" s="41"/>
      <c r="T32" s="41"/>
      <c r="U32" s="205"/>
    </row>
    <row r="33" spans="1:21" ht="15.5">
      <c r="A33" s="8" t="str">
        <f>Input!J7</f>
        <v>PAYROLL TAXES</v>
      </c>
      <c r="B33" s="2"/>
      <c r="C33" s="41">
        <f>(C30+C31+C32)*Input!$M$7</f>
        <v>450</v>
      </c>
      <c r="D33" s="41">
        <f>(D30+D31+D32)*Input!$M$7</f>
        <v>450</v>
      </c>
      <c r="E33" s="41">
        <f>(E30+E31+E32)*Input!$M$7</f>
        <v>450</v>
      </c>
      <c r="F33" s="41">
        <f>(F30+F31+F32)*Input!$M$7</f>
        <v>450</v>
      </c>
      <c r="G33" s="41">
        <f>(G30+G31+G32)*Input!$M$7</f>
        <v>450</v>
      </c>
      <c r="H33" s="41">
        <f>(H30+H31+H32)*Input!$M$7</f>
        <v>450</v>
      </c>
      <c r="I33" s="41">
        <f>(I30+I31+I32)*Input!$M$7</f>
        <v>450</v>
      </c>
      <c r="J33" s="41">
        <f>(J30+J31+J32)*Input!$M$7</f>
        <v>450</v>
      </c>
      <c r="K33" s="41">
        <f>(K30+K31+K32)*Input!$M$7</f>
        <v>450</v>
      </c>
      <c r="L33" s="41">
        <f>(L30+L31+L32)*Input!$M$7</f>
        <v>450</v>
      </c>
      <c r="M33" s="41">
        <f>(M30+M31+M32)*Input!$M$7</f>
        <v>450</v>
      </c>
      <c r="N33" s="41">
        <f>(N30+N31+N32)*Input!$M$7</f>
        <v>450</v>
      </c>
      <c r="O33" s="198">
        <f t="shared" si="8"/>
        <v>5400</v>
      </c>
      <c r="P33" s="194">
        <f t="shared" si="9"/>
        <v>3.286670724284845E-3</v>
      </c>
      <c r="Q33" s="41"/>
      <c r="R33" s="41"/>
      <c r="S33" s="41"/>
      <c r="T33" s="41"/>
      <c r="U33" s="205"/>
    </row>
    <row r="34" spans="1:21" ht="15.5">
      <c r="A34" s="8" t="str">
        <f>Input!J9</f>
        <v>WORKERS COMP INS</v>
      </c>
      <c r="B34" s="2"/>
      <c r="C34" s="41">
        <f>(C30+C31+C32)*Input!$M$9</f>
        <v>10</v>
      </c>
      <c r="D34" s="41">
        <f>(D30+D31+D32)*Input!$M$9</f>
        <v>10</v>
      </c>
      <c r="E34" s="41">
        <f>(E30+E31+E32)*Input!$M$9</f>
        <v>10</v>
      </c>
      <c r="F34" s="41">
        <f>(F30+F31+F32)*Input!$M$9</f>
        <v>10</v>
      </c>
      <c r="G34" s="41">
        <f>(G30+G31+G32)*Input!$M$9</f>
        <v>10</v>
      </c>
      <c r="H34" s="41">
        <f>(H30+H31+H32)*Input!$M$9</f>
        <v>10</v>
      </c>
      <c r="I34" s="41">
        <f>(I30+I31+I32)*Input!$M$9</f>
        <v>10</v>
      </c>
      <c r="J34" s="41">
        <f>(J30+J31+J32)*Input!$M$9</f>
        <v>10</v>
      </c>
      <c r="K34" s="41">
        <f>(K30+K31+K32)*Input!$M$9</f>
        <v>10</v>
      </c>
      <c r="L34" s="41">
        <f>(L30+L31+L32)*Input!$M$9</f>
        <v>10</v>
      </c>
      <c r="M34" s="41">
        <f>(M30+M31+M32)*Input!$M$9</f>
        <v>10</v>
      </c>
      <c r="N34" s="41">
        <f>(N30+N31+N32)*Input!$M$9</f>
        <v>10</v>
      </c>
      <c r="O34" s="198">
        <f t="shared" si="8"/>
        <v>120</v>
      </c>
      <c r="P34" s="194">
        <f t="shared" si="9"/>
        <v>7.3037127206329887E-5</v>
      </c>
      <c r="Q34" s="41"/>
      <c r="R34" s="41"/>
      <c r="S34" s="41"/>
      <c r="T34" s="41"/>
      <c r="U34" s="205"/>
    </row>
    <row r="35" spans="1:21" ht="15.5">
      <c r="A35" s="8" t="str">
        <f>Input!J8</f>
        <v>PAYROLL SERVICES</v>
      </c>
      <c r="B35" s="2"/>
      <c r="C35" s="41">
        <f>Input!$M$8</f>
        <v>0</v>
      </c>
      <c r="D35" s="41">
        <f>Input!$M$8</f>
        <v>0</v>
      </c>
      <c r="E35" s="41">
        <f>Input!$M$8</f>
        <v>0</v>
      </c>
      <c r="F35" s="41">
        <f>Input!$M$8</f>
        <v>0</v>
      </c>
      <c r="G35" s="41">
        <f>Input!$M$8</f>
        <v>0</v>
      </c>
      <c r="H35" s="41">
        <f>Input!$M$8</f>
        <v>0</v>
      </c>
      <c r="I35" s="41">
        <f>Input!$M$8</f>
        <v>0</v>
      </c>
      <c r="J35" s="41">
        <f>Input!$M$8</f>
        <v>0</v>
      </c>
      <c r="K35" s="41">
        <f>Input!$M$8</f>
        <v>0</v>
      </c>
      <c r="L35" s="41">
        <f>Input!$M$8</f>
        <v>0</v>
      </c>
      <c r="M35" s="41">
        <f>Input!$M$8</f>
        <v>0</v>
      </c>
      <c r="N35" s="41">
        <f>Input!$M$8</f>
        <v>0</v>
      </c>
      <c r="O35" s="198">
        <f t="shared" si="8"/>
        <v>0</v>
      </c>
      <c r="P35" s="194">
        <f t="shared" si="9"/>
        <v>0</v>
      </c>
      <c r="Q35" s="41"/>
      <c r="R35" s="41"/>
      <c r="S35" s="41"/>
      <c r="T35" s="41"/>
      <c r="U35" s="205"/>
    </row>
    <row r="36" spans="1:21" ht="15.5">
      <c r="A36" s="221" t="s">
        <v>163</v>
      </c>
      <c r="B36" s="2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204"/>
      <c r="P36" s="219"/>
      <c r="Q36" s="41"/>
      <c r="R36" s="41"/>
      <c r="S36" s="41"/>
      <c r="T36" s="41"/>
      <c r="U36" s="205"/>
    </row>
    <row r="37" spans="1:21" ht="15.5">
      <c r="A37" s="8" t="str">
        <f>Input!J11</f>
        <v>ADVERTISING</v>
      </c>
      <c r="B37" s="2"/>
      <c r="C37" s="41">
        <f>C12*Input!$M$11</f>
        <v>5248.6322297509259</v>
      </c>
      <c r="D37" s="41">
        <f>D12*Input!$M$11</f>
        <v>6486.0313640623935</v>
      </c>
      <c r="E37" s="41">
        <f>E12*Input!$M$11</f>
        <v>7851.2399848937748</v>
      </c>
      <c r="F37" s="41">
        <f>F12*Input!$M$11</f>
        <v>7177.7666493180977</v>
      </c>
      <c r="G37" s="41">
        <f>G12*Input!$M$11</f>
        <v>8376.6890354310035</v>
      </c>
      <c r="H37" s="41">
        <f>H12*Input!$M$11</f>
        <v>7661.1487814245365</v>
      </c>
      <c r="I37" s="41">
        <f>I12*Input!$M$11</f>
        <v>7574.2141593298402</v>
      </c>
      <c r="J37" s="41">
        <f>J12*Input!$M$11</f>
        <v>11737.372592684835</v>
      </c>
      <c r="K37" s="41">
        <f>K12*Input!$M$11</f>
        <v>7041.317862130456</v>
      </c>
      <c r="L37" s="41">
        <f>L12*Input!$M$11</f>
        <v>7454.2963027987707</v>
      </c>
      <c r="M37" s="41">
        <f>M12*Input!$M$11</f>
        <v>7227.7786029200552</v>
      </c>
      <c r="N37" s="41">
        <f>N12*Input!$M$11</f>
        <v>6528.5124352553121</v>
      </c>
      <c r="O37" s="198">
        <f t="shared" ref="O37:O56" si="10">SUM(C37:N37)</f>
        <v>90365</v>
      </c>
      <c r="P37" s="194">
        <f t="shared" ref="P37:P56" si="11">O37/$O$12</f>
        <v>5.5E-2</v>
      </c>
      <c r="Q37" s="41"/>
      <c r="R37" s="41"/>
      <c r="S37" s="41"/>
      <c r="T37" s="41"/>
      <c r="U37" s="205"/>
    </row>
    <row r="38" spans="1:21" ht="15.5">
      <c r="A38" s="9" t="str">
        <f>Input!J12</f>
        <v>ACCOUNTING FEES</v>
      </c>
      <c r="B38" s="2"/>
      <c r="C38" s="41">
        <f>Input!$M$12</f>
        <v>0</v>
      </c>
      <c r="D38" s="41">
        <f>Input!$M$12</f>
        <v>0</v>
      </c>
      <c r="E38" s="41">
        <f>Input!$M$12</f>
        <v>0</v>
      </c>
      <c r="F38" s="41">
        <f>Input!$M$12</f>
        <v>0</v>
      </c>
      <c r="G38" s="41">
        <f>Input!$M$12</f>
        <v>0</v>
      </c>
      <c r="H38" s="41">
        <f>Input!$M$12</f>
        <v>0</v>
      </c>
      <c r="I38" s="41">
        <f>Input!$M$12</f>
        <v>0</v>
      </c>
      <c r="J38" s="41">
        <f>Input!$M$12</f>
        <v>0</v>
      </c>
      <c r="K38" s="41">
        <f>Input!$M$12</f>
        <v>0</v>
      </c>
      <c r="L38" s="41">
        <f>Input!$M$12</f>
        <v>0</v>
      </c>
      <c r="M38" s="41">
        <f>Input!$M$12</f>
        <v>0</v>
      </c>
      <c r="N38" s="41">
        <f>Input!$M$12</f>
        <v>0</v>
      </c>
      <c r="O38" s="198">
        <f t="shared" si="10"/>
        <v>0</v>
      </c>
      <c r="P38" s="194">
        <f t="shared" si="11"/>
        <v>0</v>
      </c>
      <c r="Q38" s="41"/>
      <c r="R38" s="41"/>
      <c r="S38" s="41"/>
      <c r="T38" s="41"/>
      <c r="U38" s="41"/>
    </row>
    <row r="39" spans="1:21" ht="15.5">
      <c r="A39" s="9" t="str">
        <f>Input!J13</f>
        <v xml:space="preserve">ROYALTY </v>
      </c>
      <c r="B39" s="2"/>
      <c r="C39" s="222">
        <f>C12*Input!$M$13</f>
        <v>4771.4838452281147</v>
      </c>
      <c r="D39" s="222">
        <f>D12*Input!$M$13</f>
        <v>5896.3921491476312</v>
      </c>
      <c r="E39" s="222">
        <f>E12*Input!$M$13</f>
        <v>7137.490895357977</v>
      </c>
      <c r="F39" s="222">
        <f>F12*Input!$M$13</f>
        <v>6525.2424084709983</v>
      </c>
      <c r="G39" s="222">
        <f>G12*Input!$M$13</f>
        <v>7615.171850391821</v>
      </c>
      <c r="H39" s="222">
        <f>H12*Input!$M$13</f>
        <v>6964.6807103859428</v>
      </c>
      <c r="I39" s="222">
        <f>I12*Input!$M$13</f>
        <v>6885.6492357544012</v>
      </c>
      <c r="J39" s="222">
        <f>J12*Input!$M$13</f>
        <v>10670.338720622578</v>
      </c>
      <c r="K39" s="222">
        <f>K12*Input!$M$13</f>
        <v>6401.1980564822334</v>
      </c>
      <c r="L39" s="222">
        <f>L12*Input!$M$13</f>
        <v>6776.6330025443376</v>
      </c>
      <c r="M39" s="222">
        <f>M12*Input!$M$13</f>
        <v>6570.7078208364146</v>
      </c>
      <c r="N39" s="222">
        <f>N12*Input!$M$13</f>
        <v>5935.0113047775567</v>
      </c>
      <c r="O39" s="198">
        <f t="shared" si="10"/>
        <v>82149.999999999985</v>
      </c>
      <c r="P39" s="194">
        <f t="shared" si="11"/>
        <v>4.9999999999999989E-2</v>
      </c>
      <c r="Q39" s="222"/>
      <c r="R39" s="222"/>
      <c r="S39" s="222"/>
      <c r="T39" s="222"/>
      <c r="U39" s="222"/>
    </row>
    <row r="40" spans="1:21" s="14" customFormat="1" ht="15.5">
      <c r="A40" s="223" t="str">
        <f>Input!J14</f>
        <v>BANK/CREDIT CARD CHARGES</v>
      </c>
      <c r="B40" s="196"/>
      <c r="C40" s="197">
        <f>C12*Input!$M$14</f>
        <v>0</v>
      </c>
      <c r="D40" s="197">
        <f>D12*Input!$M$14</f>
        <v>0</v>
      </c>
      <c r="E40" s="197">
        <f>E12*Input!$M$14</f>
        <v>0</v>
      </c>
      <c r="F40" s="197">
        <f>F12*Input!$M$14</f>
        <v>0</v>
      </c>
      <c r="G40" s="197">
        <f>G12*Input!$M$14</f>
        <v>0</v>
      </c>
      <c r="H40" s="197">
        <f>H12*Input!$M$14</f>
        <v>0</v>
      </c>
      <c r="I40" s="197">
        <f>I12*Input!$M$14</f>
        <v>0</v>
      </c>
      <c r="J40" s="197">
        <f>J12*Input!$M$14</f>
        <v>0</v>
      </c>
      <c r="K40" s="197">
        <f>K12*Input!$M$14</f>
        <v>0</v>
      </c>
      <c r="L40" s="197">
        <f>L12*Input!$M$14</f>
        <v>0</v>
      </c>
      <c r="M40" s="197">
        <f>M12*Input!$M$14</f>
        <v>0</v>
      </c>
      <c r="N40" s="197">
        <f>N12*Input!$M$14</f>
        <v>0</v>
      </c>
      <c r="O40" s="198">
        <f t="shared" si="10"/>
        <v>0</v>
      </c>
      <c r="P40" s="194">
        <f t="shared" si="11"/>
        <v>0</v>
      </c>
      <c r="Q40" s="197"/>
      <c r="R40" s="197"/>
      <c r="S40" s="199"/>
      <c r="T40" s="199"/>
      <c r="U40" s="200"/>
    </row>
    <row r="41" spans="1:21" ht="15.5">
      <c r="A41" s="9" t="str">
        <f>Input!J15</f>
        <v>CHECK GUARANTEE</v>
      </c>
      <c r="B41" s="2"/>
      <c r="C41" s="41">
        <f>C12*Input!$M$15</f>
        <v>0</v>
      </c>
      <c r="D41" s="41">
        <f>D12*Input!$M$15</f>
        <v>0</v>
      </c>
      <c r="E41" s="41">
        <f>E12*Input!$M$15</f>
        <v>0</v>
      </c>
      <c r="F41" s="41">
        <f>F12*Input!$M$15</f>
        <v>0</v>
      </c>
      <c r="G41" s="41">
        <f>G12*Input!$M$15</f>
        <v>0</v>
      </c>
      <c r="H41" s="41">
        <f>H12*Input!$M$15</f>
        <v>0</v>
      </c>
      <c r="I41" s="41">
        <f>I12*Input!$M$15</f>
        <v>0</v>
      </c>
      <c r="J41" s="41">
        <f>J12*Input!$M$15</f>
        <v>0</v>
      </c>
      <c r="K41" s="41">
        <f>K12*Input!$M$15</f>
        <v>0</v>
      </c>
      <c r="L41" s="41">
        <f>L12*Input!$M$15</f>
        <v>0</v>
      </c>
      <c r="M41" s="41">
        <f>M12*Input!$M$15</f>
        <v>0</v>
      </c>
      <c r="N41" s="41">
        <f>N12*Input!$M$15</f>
        <v>0</v>
      </c>
      <c r="O41" s="198">
        <f t="shared" si="10"/>
        <v>0</v>
      </c>
      <c r="P41" s="194">
        <f t="shared" si="11"/>
        <v>0</v>
      </c>
      <c r="Q41" s="41"/>
      <c r="R41" s="41"/>
      <c r="S41" s="41"/>
      <c r="T41" s="41"/>
      <c r="U41" s="205"/>
    </row>
    <row r="42" spans="1:21" ht="15.5">
      <c r="A42" s="9" t="str">
        <f>Input!J17</f>
        <v>RENT (Monthly: Base + CAM)</v>
      </c>
      <c r="B42" s="2"/>
      <c r="C42" s="41">
        <f>Input!$M$17</f>
        <v>15800</v>
      </c>
      <c r="D42" s="41">
        <f>Input!$M$17</f>
        <v>15800</v>
      </c>
      <c r="E42" s="41">
        <f>Input!$M$17</f>
        <v>15800</v>
      </c>
      <c r="F42" s="41">
        <f>Input!$M$17</f>
        <v>15800</v>
      </c>
      <c r="G42" s="41">
        <f>Input!$M$17</f>
        <v>15800</v>
      </c>
      <c r="H42" s="41">
        <f>Input!$M$17</f>
        <v>15800</v>
      </c>
      <c r="I42" s="41">
        <f>Input!$M$17</f>
        <v>15800</v>
      </c>
      <c r="J42" s="41">
        <f>Input!$M$17</f>
        <v>15800</v>
      </c>
      <c r="K42" s="41">
        <f>Input!$M$17</f>
        <v>15800</v>
      </c>
      <c r="L42" s="41">
        <f>Input!$M$17</f>
        <v>15800</v>
      </c>
      <c r="M42" s="41">
        <f>Input!$M$17</f>
        <v>15800</v>
      </c>
      <c r="N42" s="41">
        <f>Input!$M$17</f>
        <v>15800</v>
      </c>
      <c r="O42" s="198">
        <f t="shared" si="10"/>
        <v>189600</v>
      </c>
      <c r="P42" s="194">
        <f t="shared" si="11"/>
        <v>0.11539866098600121</v>
      </c>
      <c r="Q42" s="41"/>
      <c r="R42" s="41"/>
      <c r="S42" s="41"/>
      <c r="T42" s="41"/>
      <c r="U42" s="205"/>
    </row>
    <row r="43" spans="1:21" ht="15.5">
      <c r="A43" s="9" t="str">
        <f>Input!J18</f>
        <v>SECURITY MONITORING</v>
      </c>
      <c r="B43" s="2"/>
      <c r="C43" s="41">
        <f>Input!$M$18</f>
        <v>60</v>
      </c>
      <c r="D43" s="41">
        <f>Input!$M$18</f>
        <v>60</v>
      </c>
      <c r="E43" s="41">
        <f>Input!$M$18</f>
        <v>60</v>
      </c>
      <c r="F43" s="41">
        <f>Input!$M$18</f>
        <v>60</v>
      </c>
      <c r="G43" s="41">
        <f>Input!$M$18</f>
        <v>60</v>
      </c>
      <c r="H43" s="41">
        <f>Input!$M$18</f>
        <v>60</v>
      </c>
      <c r="I43" s="41">
        <f>Input!$M$18</f>
        <v>60</v>
      </c>
      <c r="J43" s="41">
        <f>Input!$M$18</f>
        <v>60</v>
      </c>
      <c r="K43" s="41">
        <f>Input!$M$18</f>
        <v>60</v>
      </c>
      <c r="L43" s="41">
        <f>Input!$M$18</f>
        <v>60</v>
      </c>
      <c r="M43" s="41">
        <f>Input!$M$18</f>
        <v>60</v>
      </c>
      <c r="N43" s="41">
        <f>Input!$M$18</f>
        <v>60</v>
      </c>
      <c r="O43" s="198">
        <f t="shared" si="10"/>
        <v>720</v>
      </c>
      <c r="P43" s="194">
        <f t="shared" si="11"/>
        <v>4.3822276323797932E-4</v>
      </c>
      <c r="Q43" s="41"/>
      <c r="R43" s="41"/>
      <c r="S43" s="41"/>
      <c r="T43" s="41"/>
      <c r="U43" s="205"/>
    </row>
    <row r="44" spans="1:21" ht="15.5">
      <c r="A44" s="9" t="str">
        <f>Input!J19</f>
        <v>LEASING PAYMENT</v>
      </c>
      <c r="B44" s="2"/>
      <c r="C44" s="41">
        <f>Input!$M$19</f>
        <v>0</v>
      </c>
      <c r="D44" s="41">
        <f>Input!$M$19</f>
        <v>0</v>
      </c>
      <c r="E44" s="41">
        <f>Input!$M$19</f>
        <v>0</v>
      </c>
      <c r="F44" s="41">
        <f>Input!$M$19</f>
        <v>0</v>
      </c>
      <c r="G44" s="41">
        <f>Input!$M$19</f>
        <v>0</v>
      </c>
      <c r="H44" s="41">
        <f>Input!$M$19</f>
        <v>0</v>
      </c>
      <c r="I44" s="41">
        <f>Input!$M$19</f>
        <v>0</v>
      </c>
      <c r="J44" s="41">
        <f>Input!$M$19</f>
        <v>0</v>
      </c>
      <c r="K44" s="41">
        <f>Input!$M$19</f>
        <v>0</v>
      </c>
      <c r="L44" s="41">
        <f>Input!$M$19</f>
        <v>0</v>
      </c>
      <c r="M44" s="41">
        <f>Input!$M$19</f>
        <v>0</v>
      </c>
      <c r="N44" s="41">
        <f>Input!$M$19</f>
        <v>0</v>
      </c>
      <c r="O44" s="198">
        <f t="shared" si="10"/>
        <v>0</v>
      </c>
      <c r="P44" s="194">
        <f t="shared" si="11"/>
        <v>0</v>
      </c>
      <c r="Q44" s="41"/>
      <c r="R44" s="41"/>
      <c r="S44" s="41"/>
      <c r="T44" s="41"/>
      <c r="U44" s="205"/>
    </row>
    <row r="45" spans="1:21" ht="15.5">
      <c r="A45" s="8" t="str">
        <f>Input!J21</f>
        <v>REPAIRS / MAINTANENCE</v>
      </c>
      <c r="B45" s="2"/>
      <c r="C45" s="41">
        <f>Input!$M$21</f>
        <v>269</v>
      </c>
      <c r="D45" s="41">
        <f>Input!$M$21</f>
        <v>269</v>
      </c>
      <c r="E45" s="41">
        <f>Input!$M$21</f>
        <v>269</v>
      </c>
      <c r="F45" s="41">
        <f>Input!$M$21</f>
        <v>269</v>
      </c>
      <c r="G45" s="41">
        <f>Input!$M$21</f>
        <v>269</v>
      </c>
      <c r="H45" s="41">
        <f>Input!$M$21</f>
        <v>269</v>
      </c>
      <c r="I45" s="41">
        <f>Input!$M$21</f>
        <v>269</v>
      </c>
      <c r="J45" s="41">
        <f>Input!$M$21</f>
        <v>269</v>
      </c>
      <c r="K45" s="41">
        <f>Input!$M$21</f>
        <v>269</v>
      </c>
      <c r="L45" s="41">
        <f>Input!$M$21</f>
        <v>269</v>
      </c>
      <c r="M45" s="41">
        <f>Input!$M$21</f>
        <v>269</v>
      </c>
      <c r="N45" s="41">
        <f>Input!$M$21</f>
        <v>269</v>
      </c>
      <c r="O45" s="198">
        <f t="shared" si="10"/>
        <v>3228</v>
      </c>
      <c r="P45" s="194">
        <f t="shared" si="11"/>
        <v>1.964698721850274E-3</v>
      </c>
      <c r="Q45" s="41"/>
      <c r="R45" s="41"/>
      <c r="S45" s="222"/>
      <c r="T45" s="41"/>
      <c r="U45" s="205"/>
    </row>
    <row r="46" spans="1:21" ht="15.5">
      <c r="A46" s="8" t="str">
        <f>Input!J22</f>
        <v>BUS. TRAVEL/ENTERTAIN.</v>
      </c>
      <c r="B46" s="2"/>
      <c r="C46" s="41">
        <f>Input!$M$22</f>
        <v>309</v>
      </c>
      <c r="D46" s="41">
        <f>Input!$M$22</f>
        <v>309</v>
      </c>
      <c r="E46" s="41">
        <f>Input!$M$22</f>
        <v>309</v>
      </c>
      <c r="F46" s="41">
        <f>Input!$M$22</f>
        <v>309</v>
      </c>
      <c r="G46" s="41">
        <f>Input!$M$22</f>
        <v>309</v>
      </c>
      <c r="H46" s="41">
        <f>Input!$M$22</f>
        <v>309</v>
      </c>
      <c r="I46" s="41">
        <f>Input!$M$22</f>
        <v>309</v>
      </c>
      <c r="J46" s="41">
        <f>Input!$M$22</f>
        <v>309</v>
      </c>
      <c r="K46" s="41">
        <f>Input!$M$22</f>
        <v>309</v>
      </c>
      <c r="L46" s="41">
        <f>Input!$M$22</f>
        <v>309</v>
      </c>
      <c r="M46" s="41">
        <f>Input!$M$22</f>
        <v>309</v>
      </c>
      <c r="N46" s="41">
        <f>Input!$M$22</f>
        <v>309</v>
      </c>
      <c r="O46" s="198">
        <f t="shared" si="10"/>
        <v>3708</v>
      </c>
      <c r="P46" s="194">
        <f t="shared" si="11"/>
        <v>2.2568472306755934E-3</v>
      </c>
      <c r="Q46" s="41"/>
      <c r="R46" s="41"/>
      <c r="S46" s="41"/>
      <c r="T46" s="41"/>
      <c r="U46" s="205"/>
    </row>
    <row r="47" spans="1:21" ht="15.5">
      <c r="A47" s="8" t="str">
        <f>Input!J23</f>
        <v>BUSINESS  VEHICLE</v>
      </c>
      <c r="B47" s="2"/>
      <c r="C47" s="41">
        <f>Input!$M$23</f>
        <v>476</v>
      </c>
      <c r="D47" s="41">
        <f>Input!$M$23</f>
        <v>476</v>
      </c>
      <c r="E47" s="41">
        <f>Input!$M$23</f>
        <v>476</v>
      </c>
      <c r="F47" s="41">
        <f>Input!$M$23</f>
        <v>476</v>
      </c>
      <c r="G47" s="41">
        <f>Input!$M$23</f>
        <v>476</v>
      </c>
      <c r="H47" s="41">
        <f>Input!$M$23</f>
        <v>476</v>
      </c>
      <c r="I47" s="41">
        <f>Input!$M$23</f>
        <v>476</v>
      </c>
      <c r="J47" s="41">
        <f>Input!$M$23</f>
        <v>476</v>
      </c>
      <c r="K47" s="41">
        <f>Input!$M$23</f>
        <v>476</v>
      </c>
      <c r="L47" s="41">
        <f>Input!$M$23</f>
        <v>476</v>
      </c>
      <c r="M47" s="41">
        <f>Input!$M$23</f>
        <v>476</v>
      </c>
      <c r="N47" s="41">
        <f>Input!$M$23</f>
        <v>476</v>
      </c>
      <c r="O47" s="198">
        <f t="shared" si="10"/>
        <v>5712</v>
      </c>
      <c r="P47" s="194">
        <f t="shared" si="11"/>
        <v>3.4765672550213025E-3</v>
      </c>
      <c r="Q47" s="41"/>
      <c r="R47" s="41"/>
      <c r="S47" s="41"/>
      <c r="T47" s="41"/>
      <c r="U47" s="205"/>
    </row>
    <row r="48" spans="1:21" ht="15.5">
      <c r="A48" s="9" t="str">
        <f>Input!J25</f>
        <v>OFFICE SUPPLIES &amp; EXP</v>
      </c>
      <c r="B48" s="2"/>
      <c r="C48" s="41">
        <f>C12*Input!$M$25</f>
        <v>1908.5935380912458</v>
      </c>
      <c r="D48" s="41">
        <f>D12*Input!$M$25</f>
        <v>2358.5568596590524</v>
      </c>
      <c r="E48" s="41">
        <f>E12*Input!$M$25</f>
        <v>2854.9963581431907</v>
      </c>
      <c r="F48" s="41">
        <f>F12*Input!$M$25</f>
        <v>2610.0969633883992</v>
      </c>
      <c r="G48" s="41">
        <f>G12*Input!$M$25</f>
        <v>3046.0687401567284</v>
      </c>
      <c r="H48" s="41">
        <f>H12*Input!$M$25</f>
        <v>2785.8722841543768</v>
      </c>
      <c r="I48" s="41">
        <f>I12*Input!$M$25</f>
        <v>2754.2596943017602</v>
      </c>
      <c r="J48" s="41">
        <f>J12*Input!$M$25</f>
        <v>4268.1354882490314</v>
      </c>
      <c r="K48" s="41">
        <f>K12*Input!$M$25</f>
        <v>2560.4792225928932</v>
      </c>
      <c r="L48" s="41">
        <f>L12*Input!$M$25</f>
        <v>2710.6532010177348</v>
      </c>
      <c r="M48" s="41">
        <f>M12*Input!$M$25</f>
        <v>2628.2831283345654</v>
      </c>
      <c r="N48" s="41">
        <f>N12*Input!$M$25</f>
        <v>2374.0045219110225</v>
      </c>
      <c r="O48" s="198">
        <f t="shared" si="10"/>
        <v>32860.000000000007</v>
      </c>
      <c r="P48" s="194">
        <f t="shared" si="11"/>
        <v>2.0000000000000004E-2</v>
      </c>
      <c r="Q48" s="41"/>
      <c r="R48" s="41"/>
      <c r="S48" s="41"/>
      <c r="T48" s="41"/>
      <c r="U48" s="205"/>
    </row>
    <row r="49" spans="1:21" ht="15.5">
      <c r="A49" s="9" t="str">
        <f>Input!J26</f>
        <v>CELL PHONE</v>
      </c>
      <c r="B49" s="2"/>
      <c r="C49" s="41">
        <f>Input!$M$26</f>
        <v>108</v>
      </c>
      <c r="D49" s="41">
        <f>Input!$M$26</f>
        <v>108</v>
      </c>
      <c r="E49" s="41">
        <f>Input!$M$26</f>
        <v>108</v>
      </c>
      <c r="F49" s="41">
        <f>Input!$M$26</f>
        <v>108</v>
      </c>
      <c r="G49" s="41">
        <f>Input!$M$26</f>
        <v>108</v>
      </c>
      <c r="H49" s="41">
        <f>Input!$M$26</f>
        <v>108</v>
      </c>
      <c r="I49" s="41">
        <f>Input!$M$26</f>
        <v>108</v>
      </c>
      <c r="J49" s="41">
        <f>Input!$M$26</f>
        <v>108</v>
      </c>
      <c r="K49" s="41">
        <f>Input!$M$26</f>
        <v>108</v>
      </c>
      <c r="L49" s="41">
        <f>Input!$M$26</f>
        <v>108</v>
      </c>
      <c r="M49" s="41">
        <f>Input!$M$26</f>
        <v>108</v>
      </c>
      <c r="N49" s="41">
        <f>Input!$M$26</f>
        <v>108</v>
      </c>
      <c r="O49" s="198">
        <f t="shared" si="10"/>
        <v>1296</v>
      </c>
      <c r="P49" s="194">
        <f t="shared" si="11"/>
        <v>7.8880097382836277E-4</v>
      </c>
      <c r="Q49" s="41"/>
      <c r="R49" s="41"/>
      <c r="S49" s="41"/>
      <c r="T49" s="41"/>
      <c r="U49" s="205"/>
    </row>
    <row r="50" spans="1:21" ht="15.5">
      <c r="A50" s="9" t="str">
        <f>Input!J27</f>
        <v>TELEPHONE/INTERNET</v>
      </c>
      <c r="B50" s="2"/>
      <c r="C50" s="41">
        <f>Input!$M$27</f>
        <v>339</v>
      </c>
      <c r="D50" s="41">
        <f>Input!$M$27</f>
        <v>339</v>
      </c>
      <c r="E50" s="41">
        <f>Input!$M$27</f>
        <v>339</v>
      </c>
      <c r="F50" s="41">
        <f>Input!$M$27</f>
        <v>339</v>
      </c>
      <c r="G50" s="41">
        <f>Input!$M$27</f>
        <v>339</v>
      </c>
      <c r="H50" s="41">
        <f>Input!$M$27</f>
        <v>339</v>
      </c>
      <c r="I50" s="41">
        <f>Input!$M$27</f>
        <v>339</v>
      </c>
      <c r="J50" s="41">
        <f>Input!$M$27</f>
        <v>339</v>
      </c>
      <c r="K50" s="41">
        <f>Input!$M$27</f>
        <v>339</v>
      </c>
      <c r="L50" s="41">
        <f>Input!$M$27</f>
        <v>339</v>
      </c>
      <c r="M50" s="41">
        <f>Input!$M$27</f>
        <v>339</v>
      </c>
      <c r="N50" s="41">
        <f>Input!$M$27</f>
        <v>339</v>
      </c>
      <c r="O50" s="198">
        <f t="shared" si="10"/>
        <v>4068</v>
      </c>
      <c r="P50" s="194">
        <f t="shared" si="11"/>
        <v>2.475958612294583E-3</v>
      </c>
      <c r="Q50" s="41"/>
      <c r="R50" s="41"/>
      <c r="S50" s="222"/>
      <c r="T50" s="222"/>
      <c r="U50" s="205"/>
    </row>
    <row r="51" spans="1:21" ht="15.5">
      <c r="A51" s="9" t="str">
        <f>Input!J28</f>
        <v>UTILITIES</v>
      </c>
      <c r="B51" s="2"/>
      <c r="C51" s="41">
        <f>Input!$M$28</f>
        <v>812</v>
      </c>
      <c r="D51" s="41">
        <f>Input!$M$28</f>
        <v>812</v>
      </c>
      <c r="E51" s="41">
        <f>Input!$M$28</f>
        <v>812</v>
      </c>
      <c r="F51" s="41">
        <f>Input!$M$28</f>
        <v>812</v>
      </c>
      <c r="G51" s="41">
        <f>Input!$M$28</f>
        <v>812</v>
      </c>
      <c r="H51" s="41">
        <f>Input!$M$28</f>
        <v>812</v>
      </c>
      <c r="I51" s="41">
        <f>Input!$M$28</f>
        <v>812</v>
      </c>
      <c r="J51" s="41">
        <f>Input!$M$28</f>
        <v>812</v>
      </c>
      <c r="K51" s="41">
        <f>Input!$M$28</f>
        <v>812</v>
      </c>
      <c r="L51" s="41">
        <f>Input!$M$28</f>
        <v>812</v>
      </c>
      <c r="M51" s="41">
        <f>Input!$M$28</f>
        <v>812</v>
      </c>
      <c r="N51" s="41">
        <f>Input!$M$28</f>
        <v>812</v>
      </c>
      <c r="O51" s="198">
        <f t="shared" si="10"/>
        <v>9744</v>
      </c>
      <c r="P51" s="194">
        <f t="shared" si="11"/>
        <v>5.930614729153987E-3</v>
      </c>
      <c r="Q51" s="41"/>
      <c r="R51" s="41"/>
      <c r="S51" s="41"/>
      <c r="T51" s="41"/>
      <c r="U51" s="205"/>
    </row>
    <row r="52" spans="1:21" ht="15.5">
      <c r="A52" s="9" t="str">
        <f>Input!Q6</f>
        <v>INSURANCE-BUSINESS</v>
      </c>
      <c r="B52" s="2"/>
      <c r="C52" s="41">
        <f>Input!$T$6</f>
        <v>741</v>
      </c>
      <c r="D52" s="41">
        <f>Input!$T$6</f>
        <v>741</v>
      </c>
      <c r="E52" s="41">
        <f>Input!$T$6</f>
        <v>741</v>
      </c>
      <c r="F52" s="41">
        <f>Input!$T$6</f>
        <v>741</v>
      </c>
      <c r="G52" s="41">
        <f>Input!$T$6</f>
        <v>741</v>
      </c>
      <c r="H52" s="41">
        <f>Input!$T$6</f>
        <v>741</v>
      </c>
      <c r="I52" s="41">
        <f>Input!$T$6</f>
        <v>741</v>
      </c>
      <c r="J52" s="41">
        <f>Input!$T$6</f>
        <v>741</v>
      </c>
      <c r="K52" s="41">
        <f>Input!$T$6</f>
        <v>741</v>
      </c>
      <c r="L52" s="41">
        <f>Input!$T$6</f>
        <v>741</v>
      </c>
      <c r="M52" s="41">
        <f>Input!$T$6</f>
        <v>741</v>
      </c>
      <c r="N52" s="41">
        <f>Input!$T$6</f>
        <v>741</v>
      </c>
      <c r="O52" s="198">
        <f t="shared" si="10"/>
        <v>8892</v>
      </c>
      <c r="P52" s="194">
        <f t="shared" si="11"/>
        <v>5.412051125989044E-3</v>
      </c>
      <c r="Q52" s="41"/>
      <c r="R52" s="41"/>
      <c r="S52" s="41"/>
      <c r="T52" s="41"/>
      <c r="U52" s="205"/>
    </row>
    <row r="53" spans="1:21" ht="15.5">
      <c r="A53" s="9" t="str">
        <f>Input!Q7</f>
        <v>EMPLOY. HEALTH INS.</v>
      </c>
      <c r="C53" s="41">
        <f>Input!$T$7</f>
        <v>527</v>
      </c>
      <c r="D53" s="41">
        <f>Input!$T$7</f>
        <v>527</v>
      </c>
      <c r="E53" s="41">
        <f>Input!$T$7</f>
        <v>527</v>
      </c>
      <c r="F53" s="41">
        <f>Input!$T$7</f>
        <v>527</v>
      </c>
      <c r="G53" s="41">
        <f>Input!$T$7</f>
        <v>527</v>
      </c>
      <c r="H53" s="41">
        <f>Input!$T$7</f>
        <v>527</v>
      </c>
      <c r="I53" s="41">
        <f>Input!$T$7</f>
        <v>527</v>
      </c>
      <c r="J53" s="41">
        <f>Input!$T$7</f>
        <v>527</v>
      </c>
      <c r="K53" s="41">
        <f>Input!$T$7</f>
        <v>527</v>
      </c>
      <c r="L53" s="41">
        <f>Input!$T$7</f>
        <v>527</v>
      </c>
      <c r="M53" s="41">
        <f>Input!$T$7</f>
        <v>527</v>
      </c>
      <c r="N53" s="41">
        <f>Input!$T$7</f>
        <v>527</v>
      </c>
      <c r="O53" s="198">
        <f t="shared" si="10"/>
        <v>6324</v>
      </c>
      <c r="P53" s="194">
        <f t="shared" si="11"/>
        <v>3.849056603773585E-3</v>
      </c>
      <c r="Q53" s="41"/>
      <c r="R53" s="41"/>
      <c r="S53" s="41"/>
      <c r="T53" s="41"/>
      <c r="U53" s="205"/>
    </row>
    <row r="54" spans="1:21" ht="15.5">
      <c r="A54" s="9" t="str">
        <f>Input!Q9</f>
        <v>OUTSIDE SERVICES</v>
      </c>
      <c r="C54" s="41">
        <f>Input!$T$9</f>
        <v>0</v>
      </c>
      <c r="D54" s="41">
        <f>Input!$T$9</f>
        <v>0</v>
      </c>
      <c r="E54" s="41">
        <f>Input!$T$9</f>
        <v>0</v>
      </c>
      <c r="F54" s="41">
        <f>Input!$T$9</f>
        <v>0</v>
      </c>
      <c r="G54" s="41">
        <f>Input!$T$9</f>
        <v>0</v>
      </c>
      <c r="H54" s="41">
        <f>Input!$T$9</f>
        <v>0</v>
      </c>
      <c r="I54" s="41">
        <f>Input!$T$9</f>
        <v>0</v>
      </c>
      <c r="J54" s="41">
        <f>Input!$T$9</f>
        <v>0</v>
      </c>
      <c r="K54" s="41">
        <f>Input!$T$9</f>
        <v>0</v>
      </c>
      <c r="L54" s="41">
        <f>Input!$T$9</f>
        <v>0</v>
      </c>
      <c r="M54" s="41">
        <f>Input!$T$9</f>
        <v>0</v>
      </c>
      <c r="N54" s="41">
        <f>Input!$T$9</f>
        <v>0</v>
      </c>
      <c r="O54" s="198">
        <f t="shared" si="10"/>
        <v>0</v>
      </c>
      <c r="P54" s="194">
        <f t="shared" si="11"/>
        <v>0</v>
      </c>
      <c r="Q54" s="41"/>
      <c r="R54" s="41"/>
      <c r="S54" s="222"/>
      <c r="T54" s="41"/>
      <c r="U54" s="205"/>
    </row>
    <row r="55" spans="1:21" ht="15.5">
      <c r="A55" s="9" t="str">
        <f>Input!Q10</f>
        <v>STORE OPERATING EXPENSE</v>
      </c>
      <c r="C55" s="41">
        <f>Input!$T$10</f>
        <v>925</v>
      </c>
      <c r="D55" s="41">
        <f>Input!$T$10</f>
        <v>925</v>
      </c>
      <c r="E55" s="41">
        <f>Input!$T$10</f>
        <v>925</v>
      </c>
      <c r="F55" s="41">
        <f>Input!$T$10</f>
        <v>925</v>
      </c>
      <c r="G55" s="41">
        <f>Input!$T$10</f>
        <v>925</v>
      </c>
      <c r="H55" s="41">
        <f>Input!$T$10</f>
        <v>925</v>
      </c>
      <c r="I55" s="41">
        <f>Input!$T$10</f>
        <v>925</v>
      </c>
      <c r="J55" s="41">
        <f>Input!$T$10</f>
        <v>925</v>
      </c>
      <c r="K55" s="41">
        <f>Input!$T$10</f>
        <v>925</v>
      </c>
      <c r="L55" s="41">
        <f>Input!$T$10</f>
        <v>925</v>
      </c>
      <c r="M55" s="41">
        <f>Input!$T$10</f>
        <v>925</v>
      </c>
      <c r="N55" s="41">
        <f>Input!$T$10</f>
        <v>925</v>
      </c>
      <c r="O55" s="198">
        <f t="shared" si="10"/>
        <v>11100</v>
      </c>
      <c r="P55" s="194">
        <f t="shared" si="11"/>
        <v>6.755934266585514E-3</v>
      </c>
      <c r="Q55" s="41"/>
      <c r="R55" s="41"/>
      <c r="S55" s="222"/>
      <c r="T55" s="41"/>
      <c r="U55" s="205"/>
    </row>
    <row r="56" spans="1:21" ht="15.5">
      <c r="A56" s="9" t="str">
        <f>Input!Q11</f>
        <v>MISC EXPENSE</v>
      </c>
      <c r="B56" s="2"/>
      <c r="C56" s="41">
        <f>Input!$T$11</f>
        <v>0</v>
      </c>
      <c r="D56" s="41">
        <f>Input!$T$11</f>
        <v>0</v>
      </c>
      <c r="E56" s="41">
        <f>Input!$T$11</f>
        <v>0</v>
      </c>
      <c r="F56" s="41">
        <f>Input!$T$11</f>
        <v>0</v>
      </c>
      <c r="G56" s="215">
        <f>Input!$T$11</f>
        <v>0</v>
      </c>
      <c r="H56" s="215">
        <f>Input!$T$11</f>
        <v>0</v>
      </c>
      <c r="I56" s="215">
        <f>Input!$T$11</f>
        <v>0</v>
      </c>
      <c r="J56" s="215">
        <f>Input!$T$11</f>
        <v>0</v>
      </c>
      <c r="K56" s="215">
        <f>Input!$T$11</f>
        <v>0</v>
      </c>
      <c r="L56" s="215">
        <f>Input!$T$11</f>
        <v>0</v>
      </c>
      <c r="M56" s="215">
        <f>Input!$T$11</f>
        <v>0</v>
      </c>
      <c r="N56" s="215">
        <f>Input!$T$11</f>
        <v>0</v>
      </c>
      <c r="O56" s="213">
        <f t="shared" si="10"/>
        <v>0</v>
      </c>
      <c r="P56" s="194">
        <f t="shared" si="11"/>
        <v>0</v>
      </c>
      <c r="Q56" s="41"/>
      <c r="R56" s="41"/>
      <c r="S56" s="41"/>
      <c r="T56" s="41"/>
      <c r="U56" s="205"/>
    </row>
    <row r="57" spans="1:21" ht="15.5">
      <c r="A57" s="107"/>
      <c r="B57" s="2"/>
      <c r="C57" s="214"/>
      <c r="D57" s="214"/>
      <c r="E57" s="214"/>
      <c r="F57" s="214"/>
      <c r="G57" s="41"/>
      <c r="H57" s="41"/>
      <c r="I57" s="41"/>
      <c r="J57" s="41"/>
      <c r="K57" s="41"/>
      <c r="L57" s="41"/>
      <c r="M57" s="41"/>
      <c r="N57" s="41"/>
      <c r="O57" s="204"/>
      <c r="P57" s="219"/>
      <c r="Q57" s="41"/>
      <c r="R57" s="41"/>
      <c r="S57" s="41"/>
      <c r="T57" s="41"/>
      <c r="U57" s="205"/>
    </row>
    <row r="58" spans="1:21" ht="15.5">
      <c r="A58" s="31" t="s">
        <v>164</v>
      </c>
      <c r="B58" s="2"/>
      <c r="C58" s="215">
        <f t="shared" ref="C58:N58" si="12">SUM(C30:C56)</f>
        <v>37754.709613070285</v>
      </c>
      <c r="D58" s="215">
        <f t="shared" si="12"/>
        <v>40566.980372869082</v>
      </c>
      <c r="E58" s="215">
        <f t="shared" si="12"/>
        <v>43669.727238394938</v>
      </c>
      <c r="F58" s="215">
        <f t="shared" si="12"/>
        <v>42139.106021177497</v>
      </c>
      <c r="G58" s="215">
        <f t="shared" si="12"/>
        <v>44863.929625979552</v>
      </c>
      <c r="H58" s="215">
        <f t="shared" si="12"/>
        <v>43237.701775964859</v>
      </c>
      <c r="I58" s="215">
        <f t="shared" si="12"/>
        <v>43040.123089386005</v>
      </c>
      <c r="J58" s="215">
        <f t="shared" si="12"/>
        <v>52501.84680155645</v>
      </c>
      <c r="K58" s="215">
        <f t="shared" si="12"/>
        <v>41828.995141205582</v>
      </c>
      <c r="L58" s="215">
        <f t="shared" si="12"/>
        <v>42767.582506360843</v>
      </c>
      <c r="M58" s="215">
        <f t="shared" si="12"/>
        <v>42252.769552091035</v>
      </c>
      <c r="N58" s="215">
        <f t="shared" si="12"/>
        <v>40663.528261943895</v>
      </c>
      <c r="O58" s="213">
        <f>SUM(C58:N58)</f>
        <v>515286.99999999994</v>
      </c>
      <c r="P58" s="194">
        <f>O58/$O$12</f>
        <v>0.31362568472306751</v>
      </c>
      <c r="Q58" s="41"/>
      <c r="R58" s="41"/>
      <c r="S58" s="41"/>
      <c r="T58" s="41"/>
      <c r="U58" s="205"/>
    </row>
    <row r="59" spans="1:21" ht="15.5">
      <c r="A59" s="107"/>
      <c r="B59" s="2"/>
      <c r="C59" s="41"/>
      <c r="D59" s="41"/>
      <c r="E59" s="41"/>
      <c r="F59" s="41"/>
      <c r="G59" s="41"/>
      <c r="H59" s="41"/>
      <c r="I59" s="41"/>
      <c r="J59" s="42"/>
      <c r="K59" s="42"/>
      <c r="L59" s="42"/>
      <c r="M59" s="42"/>
      <c r="N59" s="42"/>
      <c r="O59" s="204"/>
      <c r="P59" s="219"/>
      <c r="Q59" s="42"/>
      <c r="R59" s="42"/>
      <c r="S59" s="42"/>
      <c r="T59" s="42"/>
      <c r="U59" s="205"/>
    </row>
    <row r="60" spans="1:21" ht="15.5">
      <c r="A60" s="31" t="s">
        <v>165</v>
      </c>
      <c r="B60" s="2"/>
      <c r="C60" s="42">
        <f t="shared" ref="C60:N60" si="13">C24-C58</f>
        <v>20587.157619262616</v>
      </c>
      <c r="D60" s="42">
        <f t="shared" si="13"/>
        <v>36368.595198008341</v>
      </c>
      <c r="E60" s="42">
        <f t="shared" si="13"/>
        <v>50799.229260201966</v>
      </c>
      <c r="F60" s="42">
        <f t="shared" si="13"/>
        <v>40632.220769136933</v>
      </c>
      <c r="G60" s="42">
        <f t="shared" si="13"/>
        <v>57136.564477772365</v>
      </c>
      <c r="H60" s="42">
        <f t="shared" si="13"/>
        <v>45409.804906014251</v>
      </c>
      <c r="I60" s="42">
        <f t="shared" si="13"/>
        <v>49443.596414302243</v>
      </c>
      <c r="J60" s="42">
        <f t="shared" si="13"/>
        <v>88115.135718386533</v>
      </c>
      <c r="K60" s="42">
        <f t="shared" si="13"/>
        <v>41084.433496719968</v>
      </c>
      <c r="L60" s="42">
        <f t="shared" si="13"/>
        <v>46452.160117441927</v>
      </c>
      <c r="M60" s="42">
        <f t="shared" si="13"/>
        <v>44587.044604014562</v>
      </c>
      <c r="N60" s="42">
        <f t="shared" si="13"/>
        <v>37178.031557301147</v>
      </c>
      <c r="O60" s="198">
        <f>SUM(C60:N60)</f>
        <v>557793.97413856292</v>
      </c>
      <c r="P60" s="194">
        <f>O60/$O$12</f>
        <v>0.33949724536735421</v>
      </c>
      <c r="Q60" s="42"/>
      <c r="R60" s="42"/>
      <c r="S60" s="41"/>
      <c r="T60" s="41"/>
      <c r="U60" s="205"/>
    </row>
    <row r="61" spans="1:21" ht="15.5">
      <c r="A61" s="9" t="s">
        <v>166</v>
      </c>
      <c r="B61" s="2"/>
      <c r="C61" s="41">
        <f>IF(C103&gt;0,(C103*Input!$C$39)/12,0)</f>
        <v>0</v>
      </c>
      <c r="D61" s="41">
        <f>IF(D103&gt;0,(D103*Input!$C$39)/12,0)</f>
        <v>0</v>
      </c>
      <c r="E61" s="41">
        <f>IF(E103&gt;0,(E103*Input!$C$39)/12,0)</f>
        <v>0</v>
      </c>
      <c r="F61" s="41">
        <f>IF(F103&gt;0,(F103*Input!$C$39)/12,0)</f>
        <v>0</v>
      </c>
      <c r="G61" s="41">
        <f>IF(G103&gt;0,(G103*Input!$C$39)/12,0)</f>
        <v>0</v>
      </c>
      <c r="H61" s="41">
        <f>IF(H103&gt;0,(H103*Input!$C$39)/12,0)</f>
        <v>0</v>
      </c>
      <c r="I61" s="41">
        <f>IF(I103&gt;0,(I103*Input!$C$39)/12,0)</f>
        <v>0</v>
      </c>
      <c r="J61" s="41">
        <f>IF(J103&gt;0,(J103*Input!$C$39)/12,0)</f>
        <v>0</v>
      </c>
      <c r="K61" s="41">
        <f>IF(K103&gt;0,(K103*Input!$C$39)/12,0)</f>
        <v>0</v>
      </c>
      <c r="L61" s="41">
        <f>IF(L103&gt;0,(L103*Input!$C$39)/12,0)</f>
        <v>0</v>
      </c>
      <c r="M61" s="41">
        <f>IF(M103&gt;0,(M103*Input!$C$39)/12,0)</f>
        <v>0</v>
      </c>
      <c r="N61" s="41">
        <f>IF(N103&gt;0,(N103*Input!$C$39)/12,0)</f>
        <v>0</v>
      </c>
      <c r="O61" s="198">
        <f>SUM(C61:N61)</f>
        <v>0</v>
      </c>
      <c r="P61" s="194">
        <f>O61/$O$12</f>
        <v>0</v>
      </c>
      <c r="Q61" s="41"/>
      <c r="R61" s="41"/>
      <c r="S61" s="41"/>
      <c r="T61" s="41"/>
      <c r="U61" s="205"/>
    </row>
    <row r="62" spans="1:21" ht="15.5">
      <c r="A62" s="224" t="s">
        <v>167</v>
      </c>
      <c r="B62" s="2"/>
      <c r="C62" s="41">
        <f>IF(C111&gt;0,(C111*Input!$C$46)/12,0)</f>
        <v>0</v>
      </c>
      <c r="D62" s="41">
        <f>IF(D111&gt;0,(D111*Input!$C$46)/12,0)</f>
        <v>0</v>
      </c>
      <c r="E62" s="41">
        <f>IF(E111&gt;0,(E111*Input!$C$46)/12,0)</f>
        <v>0</v>
      </c>
      <c r="F62" s="41">
        <f>IF(F111&gt;0,(F111*Input!$C$46)/12,0)</f>
        <v>0</v>
      </c>
      <c r="G62" s="41">
        <f>IF(G111&gt;0,(G111*Input!$C$46)/12,0)</f>
        <v>0</v>
      </c>
      <c r="H62" s="41">
        <f>IF(H111&gt;0,(H111*Input!$C$46)/12,0)</f>
        <v>0</v>
      </c>
      <c r="I62" s="41">
        <f>IF(I111&gt;0,(I111*Input!$C$46)/12,0)</f>
        <v>0</v>
      </c>
      <c r="J62" s="41">
        <f>IF(J111&gt;0,(J111*Input!$C$46)/12,0)</f>
        <v>0</v>
      </c>
      <c r="K62" s="41">
        <f>IF(K111&gt;0,(K111*Input!$C$46)/12,0)</f>
        <v>0</v>
      </c>
      <c r="L62" s="41">
        <f>IF(L111&gt;0,(L111*Input!$C$46)/12,0)</f>
        <v>0</v>
      </c>
      <c r="M62" s="41">
        <f>IF(M111&gt;0,(M111*Input!$C$46)/12,0)</f>
        <v>0</v>
      </c>
      <c r="N62" s="41">
        <f>IF(N111&gt;0,(N111*Input!$C$46)/12,0)</f>
        <v>0</v>
      </c>
      <c r="O62" s="198">
        <f>SUM(C62:N62)</f>
        <v>0</v>
      </c>
      <c r="P62" s="194">
        <f>O62/$O$12</f>
        <v>0</v>
      </c>
      <c r="Q62" s="41"/>
      <c r="R62" s="41"/>
      <c r="S62" s="41"/>
      <c r="T62" s="41"/>
      <c r="U62" s="205"/>
    </row>
    <row r="63" spans="1:21" ht="15.5">
      <c r="A63" s="224" t="s">
        <v>168</v>
      </c>
      <c r="B63" s="2"/>
      <c r="C63" s="41">
        <f>IF(C116&gt;0,(C116*Input!$G$41)/12,0)</f>
        <v>0</v>
      </c>
      <c r="D63" s="41">
        <f>IF(D116&gt;0,(D116*Input!$G$41)/12,0)</f>
        <v>0</v>
      </c>
      <c r="E63" s="41">
        <f>IF(E116&gt;0,(E116*Input!$G$41)/12,0)</f>
        <v>0</v>
      </c>
      <c r="F63" s="41">
        <f>IF(F116&gt;0,(F116*Input!$G$41)/12,0)</f>
        <v>0</v>
      </c>
      <c r="G63" s="41">
        <f>IF(G116&gt;0,(G116*Input!$G$41)/12,0)</f>
        <v>0</v>
      </c>
      <c r="H63" s="41">
        <f>IF(H116&gt;0,(H116*Input!$G$41)/12,0)</f>
        <v>0</v>
      </c>
      <c r="I63" s="41">
        <f>IF(I116&gt;0,(I116*Input!$G$41)/12,0)</f>
        <v>0</v>
      </c>
      <c r="J63" s="41">
        <f>IF(J116&gt;0,(J116*Input!$G$41)/12,0)</f>
        <v>0</v>
      </c>
      <c r="K63" s="41">
        <f>IF(K116&gt;0,(K116*Input!$G$41)/12,0)</f>
        <v>0</v>
      </c>
      <c r="L63" s="41">
        <f>IF(L116&gt;0,(L116*Input!$G$41)/12,0)</f>
        <v>0</v>
      </c>
      <c r="M63" s="41">
        <f>IF(M116&gt;0,(M116*Input!$G$41)/12,0)</f>
        <v>0</v>
      </c>
      <c r="N63" s="41">
        <f>IF(N116&gt;0,(N116*Input!$G$41)/12,0)</f>
        <v>0</v>
      </c>
      <c r="O63" s="198">
        <f>SUM(C63:N63)</f>
        <v>0</v>
      </c>
      <c r="P63" s="194">
        <f>O63/$O$12</f>
        <v>0</v>
      </c>
      <c r="Q63" s="41"/>
      <c r="R63" s="41"/>
      <c r="S63" s="41"/>
      <c r="T63" s="41"/>
      <c r="U63" s="205"/>
    </row>
    <row r="64" spans="1:21" ht="15.5">
      <c r="A64" s="9" t="s">
        <v>169</v>
      </c>
      <c r="B64" s="2"/>
      <c r="C64" s="41">
        <f>IF(C107&gt;0,(C107*Input!$C$53)/12,0)</f>
        <v>0</v>
      </c>
      <c r="D64" s="41">
        <f>IF(D107&gt;0,(D107*Input!$C$53)/12,0)</f>
        <v>0</v>
      </c>
      <c r="E64" s="41">
        <f>IF(E107&gt;0,(E107*Input!$C$53)/12,0)</f>
        <v>0</v>
      </c>
      <c r="F64" s="41">
        <f>IF(F107&gt;0,(F107*Input!$C$53)/12,0)</f>
        <v>0</v>
      </c>
      <c r="G64" s="41">
        <f>IF(G107&gt;0,(G107*Input!$C$53)/12,0)</f>
        <v>0</v>
      </c>
      <c r="H64" s="215">
        <f>IF(H107&gt;0,(H107*Input!$C$53)/12,0)</f>
        <v>0</v>
      </c>
      <c r="I64" s="215">
        <f>IF(I107&gt;0,(I107*Input!$C$53)/12,0)</f>
        <v>0</v>
      </c>
      <c r="J64" s="215">
        <f>IF(J107&gt;0,(J107*Input!$C$53)/12,0)</f>
        <v>0</v>
      </c>
      <c r="K64" s="215">
        <f>IF(K107&gt;0,(K107*Input!$C$53)/12,0)</f>
        <v>0</v>
      </c>
      <c r="L64" s="215">
        <f>IF(L107&gt;0,(L107*Input!$C$53)/12,0)</f>
        <v>0</v>
      </c>
      <c r="M64" s="215">
        <f>IF(M107&gt;0,(M107*Input!$C$53)/12,0)</f>
        <v>0</v>
      </c>
      <c r="N64" s="215">
        <f>IF(N107&gt;0,(N107*Input!$C$53)/12,0)</f>
        <v>0</v>
      </c>
      <c r="O64" s="213">
        <f>SUM(C64:N64)</f>
        <v>0</v>
      </c>
      <c r="P64" s="194">
        <f>O64/$O$12</f>
        <v>0</v>
      </c>
      <c r="Q64" s="41"/>
      <c r="R64" s="41"/>
      <c r="S64" s="41"/>
      <c r="T64" s="41"/>
      <c r="U64" s="205"/>
    </row>
    <row r="65" spans="1:21" ht="15.5">
      <c r="A65" s="31" t="s">
        <v>147</v>
      </c>
      <c r="B65" s="2"/>
      <c r="C65" s="214"/>
      <c r="D65" s="214"/>
      <c r="E65" s="214"/>
      <c r="F65" s="214"/>
      <c r="G65" s="214"/>
      <c r="H65" s="225"/>
      <c r="I65" s="225"/>
      <c r="J65" s="42"/>
      <c r="K65" s="42"/>
      <c r="L65" s="42"/>
      <c r="M65" s="42"/>
      <c r="N65" s="42"/>
      <c r="O65" s="204"/>
      <c r="P65" s="219"/>
      <c r="Q65" s="42"/>
      <c r="R65" s="42"/>
      <c r="S65" s="42"/>
      <c r="T65" s="42"/>
      <c r="U65" s="205"/>
    </row>
    <row r="66" spans="1:21" ht="16" thickBot="1">
      <c r="A66" s="357" t="s">
        <v>170</v>
      </c>
      <c r="B66" s="354"/>
      <c r="C66" s="358">
        <f t="shared" ref="C66:N66" si="14">C60-SUM(C61:C64)</f>
        <v>20587.157619262616</v>
      </c>
      <c r="D66" s="358">
        <f t="shared" si="14"/>
        <v>36368.595198008341</v>
      </c>
      <c r="E66" s="358">
        <f t="shared" si="14"/>
        <v>50799.229260201966</v>
      </c>
      <c r="F66" s="358">
        <f t="shared" si="14"/>
        <v>40632.220769136933</v>
      </c>
      <c r="G66" s="358">
        <f t="shared" si="14"/>
        <v>57136.564477772365</v>
      </c>
      <c r="H66" s="358">
        <f t="shared" si="14"/>
        <v>45409.804906014251</v>
      </c>
      <c r="I66" s="358">
        <f t="shared" si="14"/>
        <v>49443.596414302243</v>
      </c>
      <c r="J66" s="358">
        <f t="shared" si="14"/>
        <v>88115.135718386533</v>
      </c>
      <c r="K66" s="358">
        <f t="shared" si="14"/>
        <v>41084.433496719968</v>
      </c>
      <c r="L66" s="358">
        <f t="shared" si="14"/>
        <v>46452.160117441927</v>
      </c>
      <c r="M66" s="358">
        <f t="shared" si="14"/>
        <v>44587.044604014562</v>
      </c>
      <c r="N66" s="358">
        <f t="shared" si="14"/>
        <v>37178.031557301147</v>
      </c>
      <c r="O66" s="359">
        <f>SUM(C66:N66)</f>
        <v>557793.97413856292</v>
      </c>
      <c r="P66" s="194">
        <f>O66/$O$12</f>
        <v>0.33949724536735421</v>
      </c>
      <c r="Q66" s="42"/>
      <c r="R66" s="42"/>
      <c r="S66" s="225"/>
      <c r="T66" s="226"/>
      <c r="U66" s="175"/>
    </row>
    <row r="67" spans="1:21" ht="13.5" thickTop="1">
      <c r="O67" s="283"/>
    </row>
    <row r="68" spans="1:21" s="114" customFormat="1">
      <c r="O68" s="284"/>
      <c r="P68" s="285"/>
    </row>
    <row r="69" spans="1:21" ht="15.5">
      <c r="A69" s="228" t="s">
        <v>171</v>
      </c>
      <c r="C69" s="294">
        <f t="shared" ref="C69:N69" si="15">C6</f>
        <v>44926</v>
      </c>
      <c r="D69" s="294">
        <f t="shared" si="15"/>
        <v>44957</v>
      </c>
      <c r="E69" s="294">
        <f t="shared" si="15"/>
        <v>44985</v>
      </c>
      <c r="F69" s="294">
        <f t="shared" si="15"/>
        <v>45016</v>
      </c>
      <c r="G69" s="294">
        <f t="shared" si="15"/>
        <v>45046</v>
      </c>
      <c r="H69" s="294">
        <f t="shared" si="15"/>
        <v>45077</v>
      </c>
      <c r="I69" s="294">
        <f t="shared" si="15"/>
        <v>45107</v>
      </c>
      <c r="J69" s="294">
        <f t="shared" si="15"/>
        <v>45138</v>
      </c>
      <c r="K69" s="294">
        <f t="shared" si="15"/>
        <v>45169</v>
      </c>
      <c r="L69" s="294">
        <f t="shared" si="15"/>
        <v>45199</v>
      </c>
      <c r="M69" s="294">
        <f t="shared" si="15"/>
        <v>45230</v>
      </c>
      <c r="N69" s="294">
        <f t="shared" si="15"/>
        <v>45260</v>
      </c>
      <c r="O69" s="229" t="s">
        <v>172</v>
      </c>
    </row>
    <row r="70" spans="1:21" ht="14.5">
      <c r="A70" s="107"/>
    </row>
    <row r="71" spans="1:21" ht="14.5">
      <c r="A71" s="221" t="s">
        <v>173</v>
      </c>
      <c r="C71" s="107">
        <f>'P&amp;LY1'!N97</f>
        <v>542115.05504341098</v>
      </c>
      <c r="D71" s="230">
        <f t="shared" ref="D71:N71" si="16">C96</f>
        <v>551377.57701870764</v>
      </c>
      <c r="E71" s="230">
        <f t="shared" si="16"/>
        <v>591371.39220271353</v>
      </c>
      <c r="F71" s="230">
        <f t="shared" si="16"/>
        <v>647960.92297309532</v>
      </c>
      <c r="G71" s="230">
        <f t="shared" si="16"/>
        <v>687375.70685390721</v>
      </c>
      <c r="H71" s="230">
        <f t="shared" si="16"/>
        <v>736465.80249756947</v>
      </c>
      <c r="I71" s="230">
        <f t="shared" si="16"/>
        <v>788451.46479316603</v>
      </c>
      <c r="J71" s="230">
        <f t="shared" si="16"/>
        <v>832575.34375126683</v>
      </c>
      <c r="K71" s="230">
        <f t="shared" si="16"/>
        <v>928481.08242138568</v>
      </c>
      <c r="L71" s="230">
        <f t="shared" si="16"/>
        <v>977232.90346390405</v>
      </c>
      <c r="M71" s="230">
        <f t="shared" si="16"/>
        <v>1029312.138607998</v>
      </c>
      <c r="N71" s="230">
        <f t="shared" si="16"/>
        <v>1076395.1408152226</v>
      </c>
      <c r="O71" s="231">
        <f>C71</f>
        <v>542115.05504341098</v>
      </c>
      <c r="P71" s="558"/>
      <c r="Q71" s="558"/>
      <c r="R71" s="14"/>
    </row>
    <row r="72" spans="1:21" ht="14.5">
      <c r="A72" s="221"/>
      <c r="C72" s="107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2"/>
      <c r="P72" s="286"/>
      <c r="Q72" s="234"/>
      <c r="R72" s="14"/>
    </row>
    <row r="73" spans="1:21" ht="14.5">
      <c r="A73" s="31" t="s">
        <v>170</v>
      </c>
      <c r="C73" s="107">
        <f t="shared" ref="C73:N73" si="17">C66</f>
        <v>20587.157619262616</v>
      </c>
      <c r="D73" s="107">
        <f t="shared" si="17"/>
        <v>36368.595198008341</v>
      </c>
      <c r="E73" s="107">
        <f t="shared" si="17"/>
        <v>50799.229260201966</v>
      </c>
      <c r="F73" s="107">
        <f t="shared" si="17"/>
        <v>40632.220769136933</v>
      </c>
      <c r="G73" s="107">
        <f t="shared" si="17"/>
        <v>57136.564477772365</v>
      </c>
      <c r="H73" s="107">
        <f t="shared" si="17"/>
        <v>45409.804906014251</v>
      </c>
      <c r="I73" s="107">
        <f t="shared" si="17"/>
        <v>49443.596414302243</v>
      </c>
      <c r="J73" s="107">
        <f t="shared" si="17"/>
        <v>88115.135718386533</v>
      </c>
      <c r="K73" s="107">
        <f t="shared" si="17"/>
        <v>41084.433496719968</v>
      </c>
      <c r="L73" s="107">
        <f t="shared" si="17"/>
        <v>46452.160117441927</v>
      </c>
      <c r="M73" s="107">
        <f t="shared" si="17"/>
        <v>44587.044604014562</v>
      </c>
      <c r="N73" s="107">
        <f t="shared" si="17"/>
        <v>37178.031557301147</v>
      </c>
      <c r="O73" s="231">
        <f>SUM(C73:N73)</f>
        <v>557793.97413856292</v>
      </c>
      <c r="P73" s="287"/>
      <c r="Q73" s="236"/>
      <c r="R73" s="2"/>
    </row>
    <row r="74" spans="1:21" ht="14.5">
      <c r="A74" s="31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232"/>
      <c r="P74" s="288"/>
      <c r="Q74" s="234"/>
      <c r="R74" s="2"/>
    </row>
    <row r="75" spans="1:21" ht="14.5">
      <c r="A75" s="31" t="s">
        <v>174</v>
      </c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232"/>
      <c r="P75" s="287"/>
      <c r="Q75" s="107"/>
      <c r="R75" s="2"/>
    </row>
    <row r="76" spans="1:21" ht="14.5">
      <c r="A76" s="9" t="s">
        <v>175</v>
      </c>
      <c r="C76" s="107">
        <f t="shared" ref="C76:N76" si="18">C22</f>
        <v>37087.809672229392</v>
      </c>
      <c r="D76" s="107">
        <f t="shared" si="18"/>
        <v>40992.267412075191</v>
      </c>
      <c r="E76" s="107">
        <f t="shared" si="18"/>
        <v>48280.861408562632</v>
      </c>
      <c r="F76" s="107">
        <f t="shared" si="18"/>
        <v>47733.521379105536</v>
      </c>
      <c r="G76" s="107">
        <f t="shared" si="18"/>
        <v>50302.942904084499</v>
      </c>
      <c r="H76" s="107">
        <f t="shared" si="18"/>
        <v>50646.107525739739</v>
      </c>
      <c r="I76" s="107">
        <f t="shared" si="18"/>
        <v>45229.265211399761</v>
      </c>
      <c r="J76" s="107">
        <f t="shared" si="18"/>
        <v>72789.791892508554</v>
      </c>
      <c r="K76" s="107">
        <f t="shared" si="18"/>
        <v>45110.532491719103</v>
      </c>
      <c r="L76" s="107">
        <f t="shared" si="18"/>
        <v>46312.917427083965</v>
      </c>
      <c r="M76" s="107">
        <f t="shared" si="18"/>
        <v>44574.342260622681</v>
      </c>
      <c r="N76" s="107">
        <f t="shared" si="18"/>
        <v>40858.666276306089</v>
      </c>
      <c r="O76" s="231">
        <f>SUM(C76:N76)</f>
        <v>569919.0258614372</v>
      </c>
      <c r="P76" s="287"/>
      <c r="Q76" s="107"/>
      <c r="R76" s="2"/>
    </row>
    <row r="77" spans="1:21" ht="14.5">
      <c r="A77" s="238" t="s">
        <v>176</v>
      </c>
      <c r="C77" s="107">
        <f>-C127</f>
        <v>-226.49587843006776</v>
      </c>
      <c r="D77" s="107">
        <f t="shared" ref="D77:N77" si="19">-D127</f>
        <v>-226.49587843006776</v>
      </c>
      <c r="E77" s="107">
        <f t="shared" si="19"/>
        <v>-2838.8875456396063</v>
      </c>
      <c r="F77" s="107">
        <f t="shared" si="19"/>
        <v>-230.47444063993942</v>
      </c>
      <c r="G77" s="107">
        <f t="shared" si="19"/>
        <v>-226.49587843006776</v>
      </c>
      <c r="H77" s="107">
        <f t="shared" si="19"/>
        <v>-226.49587843006776</v>
      </c>
      <c r="I77" s="107">
        <f t="shared" si="19"/>
        <v>-226.49587843006776</v>
      </c>
      <c r="J77" s="107">
        <f t="shared" si="19"/>
        <v>-226.49587843006776</v>
      </c>
      <c r="K77" s="107">
        <f t="shared" si="19"/>
        <v>-226.49587843006776</v>
      </c>
      <c r="L77" s="107">
        <f t="shared" si="19"/>
        <v>-226.49587843006776</v>
      </c>
      <c r="M77" s="107">
        <f t="shared" si="19"/>
        <v>-226.49587843006776</v>
      </c>
      <c r="N77" s="107">
        <f t="shared" si="19"/>
        <v>-226.49587843006776</v>
      </c>
      <c r="O77" s="231">
        <f>SUM(C77:N77)</f>
        <v>-5334.3207705802242</v>
      </c>
      <c r="P77" s="287"/>
      <c r="Q77" s="107"/>
      <c r="R77" s="2"/>
    </row>
    <row r="78" spans="1:21" ht="14.5">
      <c r="A78" s="238" t="s">
        <v>177</v>
      </c>
      <c r="C78" s="107">
        <f>-C134</f>
        <v>-48185.949437765274</v>
      </c>
      <c r="D78" s="107">
        <f t="shared" ref="D78:N78" si="20">-D134</f>
        <v>-37140.551547647534</v>
      </c>
      <c r="E78" s="107">
        <f t="shared" si="20"/>
        <v>-39651.67235274316</v>
      </c>
      <c r="F78" s="107">
        <f t="shared" si="20"/>
        <v>-48720.483826790667</v>
      </c>
      <c r="G78" s="107">
        <f t="shared" si="20"/>
        <v>-58122.915859764566</v>
      </c>
      <c r="H78" s="107">
        <f t="shared" si="20"/>
        <v>-43843.754257727349</v>
      </c>
      <c r="I78" s="107">
        <f t="shared" si="20"/>
        <v>-50322.486789171169</v>
      </c>
      <c r="J78" s="107">
        <f t="shared" si="20"/>
        <v>-64772.69306234621</v>
      </c>
      <c r="K78" s="107">
        <f t="shared" si="20"/>
        <v>-37216.649067490616</v>
      </c>
      <c r="L78" s="107">
        <f t="shared" si="20"/>
        <v>-40459.346522001848</v>
      </c>
      <c r="M78" s="107">
        <f t="shared" si="20"/>
        <v>-41851.88877898256</v>
      </c>
      <c r="N78" s="107">
        <f t="shared" si="20"/>
        <v>-47635.207049390119</v>
      </c>
      <c r="O78" s="231">
        <f>SUM(C78:N78)</f>
        <v>-557923.59855182096</v>
      </c>
      <c r="P78" s="287"/>
      <c r="Q78" s="107"/>
      <c r="R78" s="2"/>
    </row>
    <row r="79" spans="1:21" ht="14.5">
      <c r="A79" s="239" t="s">
        <v>178</v>
      </c>
      <c r="C79" s="107">
        <f t="shared" ref="C79:N79" si="21">SUM(C76:C78)</f>
        <v>-11324.63564396595</v>
      </c>
      <c r="D79" s="107">
        <f t="shared" si="21"/>
        <v>3625.2199859975881</v>
      </c>
      <c r="E79" s="107">
        <f t="shared" si="21"/>
        <v>5790.3015101798665</v>
      </c>
      <c r="F79" s="107">
        <f t="shared" si="21"/>
        <v>-1217.4368883250718</v>
      </c>
      <c r="G79" s="107">
        <f t="shared" si="21"/>
        <v>-8046.4688341101355</v>
      </c>
      <c r="H79" s="107">
        <f t="shared" si="21"/>
        <v>6575.857389582321</v>
      </c>
      <c r="I79" s="107">
        <f t="shared" si="21"/>
        <v>-5319.717456201477</v>
      </c>
      <c r="J79" s="107">
        <f t="shared" si="21"/>
        <v>7790.602951732275</v>
      </c>
      <c r="K79" s="107">
        <f t="shared" si="21"/>
        <v>7667.3875457984177</v>
      </c>
      <c r="L79" s="107">
        <f t="shared" si="21"/>
        <v>5627.0750266520481</v>
      </c>
      <c r="M79" s="107">
        <f t="shared" si="21"/>
        <v>2495.9576032100522</v>
      </c>
      <c r="N79" s="107">
        <f t="shared" si="21"/>
        <v>-7003.0366515140995</v>
      </c>
      <c r="O79" s="231">
        <f>SUM(C79:N79)</f>
        <v>6661.1065390358344</v>
      </c>
      <c r="P79" s="287"/>
      <c r="Q79" s="107"/>
      <c r="R79" s="2"/>
    </row>
    <row r="80" spans="1:21" ht="14.5">
      <c r="A80" s="240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232"/>
      <c r="P80" s="287"/>
      <c r="Q80" s="107"/>
      <c r="R80" s="2"/>
    </row>
    <row r="81" spans="1:18" ht="14.5">
      <c r="A81" s="239" t="s">
        <v>179</v>
      </c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232"/>
      <c r="P81" s="287"/>
      <c r="Q81" s="107"/>
      <c r="R81" s="2"/>
    </row>
    <row r="82" spans="1:18" ht="14.5">
      <c r="A82" s="9" t="s">
        <v>180</v>
      </c>
      <c r="C82" s="107">
        <f t="shared" ref="C82:N82" si="22">C112</f>
        <v>0</v>
      </c>
      <c r="D82" s="107">
        <f t="shared" si="22"/>
        <v>0</v>
      </c>
      <c r="E82" s="107">
        <f t="shared" si="22"/>
        <v>0</v>
      </c>
      <c r="F82" s="107">
        <f t="shared" si="22"/>
        <v>0</v>
      </c>
      <c r="G82" s="107">
        <f t="shared" si="22"/>
        <v>0</v>
      </c>
      <c r="H82" s="107">
        <f t="shared" si="22"/>
        <v>0</v>
      </c>
      <c r="I82" s="107">
        <f t="shared" si="22"/>
        <v>0</v>
      </c>
      <c r="J82" s="107">
        <f t="shared" si="22"/>
        <v>0</v>
      </c>
      <c r="K82" s="107">
        <f t="shared" si="22"/>
        <v>0</v>
      </c>
      <c r="L82" s="107">
        <f t="shared" si="22"/>
        <v>0</v>
      </c>
      <c r="M82" s="107">
        <f t="shared" si="22"/>
        <v>0</v>
      </c>
      <c r="N82" s="107">
        <f t="shared" si="22"/>
        <v>0</v>
      </c>
      <c r="O82" s="231">
        <f>SUM(C82:N82)</f>
        <v>0</v>
      </c>
      <c r="P82" s="287"/>
      <c r="Q82" s="107"/>
    </row>
    <row r="83" spans="1:18" ht="14.5">
      <c r="A83" s="238" t="s">
        <v>181</v>
      </c>
      <c r="C83" s="107">
        <f>IF(Input!$C$41&gt;C103,-C103,-(Input!$C$41-'P&amp;LY2'!C61))</f>
        <v>0</v>
      </c>
      <c r="D83" s="107">
        <f>IF(Input!$C$41&gt;C105,-C105,-(Input!$C$41-'P&amp;LY2'!D61))</f>
        <v>0</v>
      </c>
      <c r="E83" s="107">
        <f>IF(Input!$C$41&gt;D105,-D105,-(Input!$C$41-'P&amp;LY2'!E61))</f>
        <v>0</v>
      </c>
      <c r="F83" s="107">
        <f>IF(Input!$C$41&gt;E105,-E105,-(Input!$C$41-'P&amp;LY2'!F61))</f>
        <v>0</v>
      </c>
      <c r="G83" s="107">
        <f>IF(Input!$C$41&gt;F105,-F105,-(Input!$C$41-'P&amp;LY2'!G61))</f>
        <v>0</v>
      </c>
      <c r="H83" s="107">
        <f>IF(Input!$C$41&gt;G105,-G105,-(Input!$C$41-'P&amp;LY2'!H61))</f>
        <v>0</v>
      </c>
      <c r="I83" s="107">
        <f>IF(Input!$C$41&gt;H105,-H105,-(Input!$C$41-'P&amp;LY2'!I61))</f>
        <v>0</v>
      </c>
      <c r="J83" s="107">
        <f>IF(Input!$C$41&gt;I105,-I105,-(Input!$C$41-'P&amp;LY2'!J61))</f>
        <v>0</v>
      </c>
      <c r="K83" s="107">
        <f>IF(Input!$C$41&gt;J105,-J105,-(Input!$C$41-'P&amp;LY2'!K61))</f>
        <v>0</v>
      </c>
      <c r="L83" s="107">
        <f>IF(Input!$C$41&gt;K105,-K105,-(Input!$C$41-'P&amp;LY2'!L61))</f>
        <v>0</v>
      </c>
      <c r="M83" s="107">
        <f>IF(Input!$C$41&gt;L105,-L105,-(Input!$C$41-'P&amp;LY2'!M61))</f>
        <v>0</v>
      </c>
      <c r="N83" s="107">
        <f>IF(Input!$C$41&gt;M105,-M105,-(Input!$C$41-'P&amp;LY2'!N61))</f>
        <v>0</v>
      </c>
      <c r="O83" s="231">
        <f>SUM(C83:N83)</f>
        <v>0</v>
      </c>
      <c r="P83" s="287"/>
      <c r="Q83" s="107"/>
      <c r="R83" s="2"/>
    </row>
    <row r="84" spans="1:18" ht="14.5">
      <c r="A84" s="238" t="s">
        <v>182</v>
      </c>
      <c r="C84" s="107">
        <f>IF(Input!$C$55&gt;C107,-C107,(-(Input!$C$55-C64)))</f>
        <v>0</v>
      </c>
      <c r="D84" s="107">
        <f>IF(Input!$C$55&gt;C109,-C109,-(Input!$C$55-D64))</f>
        <v>0</v>
      </c>
      <c r="E84" s="107">
        <f>IF(Input!$C$55&gt;D109,-D109,-(Input!$C$55-E64))</f>
        <v>0</v>
      </c>
      <c r="F84" s="107">
        <f>IF(Input!$C$55&gt;E109,-E109,-(Input!$C$55-F64))</f>
        <v>0</v>
      </c>
      <c r="G84" s="107">
        <f>IF(Input!$C$55&gt;F109,-F109,-(Input!$C$55-G64))</f>
        <v>0</v>
      </c>
      <c r="H84" s="107">
        <f>IF(Input!$C$55&gt;G109,-G109,-(Input!$C$55-H64))</f>
        <v>0</v>
      </c>
      <c r="I84" s="107">
        <f>IF(Input!$C$55&gt;H109,-H109,-(Input!$C$55-I64))</f>
        <v>0</v>
      </c>
      <c r="J84" s="107">
        <f>IF(Input!$C$55&gt;I109,-I109,-(Input!$C$55-J64))</f>
        <v>0</v>
      </c>
      <c r="K84" s="107">
        <f>IF(Input!$C$55&gt;J109,-J109,-(Input!$C$55-K64))</f>
        <v>0</v>
      </c>
      <c r="L84" s="107">
        <f>IF(Input!$C$55&gt;K109,-K109,-(Input!$C$55-L64))</f>
        <v>0</v>
      </c>
      <c r="M84" s="107">
        <f>IF(Input!$C$55&gt;L109,-L109,-(Input!$C$55-M64))</f>
        <v>0</v>
      </c>
      <c r="N84" s="107">
        <f>IF(Input!$C$55&gt;M109,-M109,-(Input!$C$55-N64))</f>
        <v>0</v>
      </c>
      <c r="O84" s="231">
        <f>SUM(C84:N84)</f>
        <v>0</v>
      </c>
      <c r="P84" s="287"/>
      <c r="Q84" s="71"/>
      <c r="R84" s="2"/>
    </row>
    <row r="85" spans="1:18" ht="14.5">
      <c r="A85" s="9" t="s">
        <v>183</v>
      </c>
      <c r="C85" s="107">
        <f>-C113</f>
        <v>0</v>
      </c>
      <c r="D85" s="107">
        <f t="shared" ref="D85:N85" si="23">-D113</f>
        <v>0</v>
      </c>
      <c r="E85" s="107">
        <f t="shared" si="23"/>
        <v>0</v>
      </c>
      <c r="F85" s="107">
        <f t="shared" si="23"/>
        <v>0</v>
      </c>
      <c r="G85" s="107">
        <f t="shared" si="23"/>
        <v>0</v>
      </c>
      <c r="H85" s="107">
        <f t="shared" si="23"/>
        <v>0</v>
      </c>
      <c r="I85" s="107">
        <f t="shared" si="23"/>
        <v>0</v>
      </c>
      <c r="J85" s="107">
        <f t="shared" si="23"/>
        <v>0</v>
      </c>
      <c r="K85" s="107">
        <f t="shared" si="23"/>
        <v>0</v>
      </c>
      <c r="L85" s="107">
        <f t="shared" si="23"/>
        <v>0</v>
      </c>
      <c r="M85" s="107">
        <f t="shared" si="23"/>
        <v>0</v>
      </c>
      <c r="N85" s="107">
        <f t="shared" si="23"/>
        <v>0</v>
      </c>
      <c r="O85" s="231">
        <f>SUM(C85:N85)</f>
        <v>0</v>
      </c>
      <c r="P85" s="287"/>
      <c r="Q85" s="236"/>
      <c r="R85" s="7"/>
    </row>
    <row r="86" spans="1:18" ht="14.5">
      <c r="A86" s="224" t="s">
        <v>184</v>
      </c>
      <c r="C86" s="107">
        <f>IF((Input!$G$45+Input!$I$45)&gt;C116,-C116,(-Input!$G$45-Input!$I$45))</f>
        <v>0</v>
      </c>
      <c r="D86" s="107">
        <f>IF((Input!$G$46+Input!$I$46)&gt;C118,-C118,(-Input!$G$46-Input!$I$46))</f>
        <v>0</v>
      </c>
      <c r="E86" s="107">
        <f>IF((Input!$G$46+Input!$I$46)&gt;D118,-D118,(-Input!$G$46-Input!$I$46))</f>
        <v>0</v>
      </c>
      <c r="F86" s="107">
        <f>IF((Input!$G$46+Input!$I$46)&gt;E118,-E118,(-Input!$G$46-Input!$I$46))</f>
        <v>0</v>
      </c>
      <c r="G86" s="107">
        <f>IF((Input!$G$46+Input!$I$46)&gt;F118,-F118,(-Input!$G$46-Input!$I$46))</f>
        <v>0</v>
      </c>
      <c r="H86" s="107">
        <f>IF((Input!$G$46+Input!$I$46)&gt;G118,-G118,(-Input!$G$46-Input!$I$46))</f>
        <v>0</v>
      </c>
      <c r="I86" s="107">
        <f>IF((Input!$G$46+Input!$I$46)&gt;H118,-H118,(-Input!$G$46-Input!$I$46))</f>
        <v>0</v>
      </c>
      <c r="J86" s="107">
        <f>IF((Input!$G$46+Input!$I$46)&gt;I118,-I118,(-Input!$G$46-Input!$I$46))</f>
        <v>0</v>
      </c>
      <c r="K86" s="107">
        <f>IF((Input!$G$46+Input!$I$46)&gt;J118,-J118,(-Input!$G$46-Input!$I$46))</f>
        <v>0</v>
      </c>
      <c r="L86" s="107">
        <f>IF((Input!$G$46+Input!$I$46)&gt;K118,-K118,(-Input!$G$46-Input!$I$46))</f>
        <v>0</v>
      </c>
      <c r="M86" s="107">
        <f>IF((Input!$G$46+Input!$I$46)&gt;L118,-L118,(-Input!$G$46-Input!$I$46))</f>
        <v>0</v>
      </c>
      <c r="N86" s="107">
        <f>IF((Input!$G$46+Input!$I$46)&gt;M118,-M118,(-Input!$G$46-Input!$I$46))</f>
        <v>0</v>
      </c>
      <c r="O86" s="231">
        <f>SUM(C86:N86)</f>
        <v>0</v>
      </c>
      <c r="P86" s="157"/>
      <c r="Q86" s="2"/>
      <c r="R86" s="2"/>
    </row>
    <row r="87" spans="1:18" ht="14.5">
      <c r="A87" s="224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231"/>
      <c r="P87" s="157"/>
      <c r="Q87" s="2"/>
      <c r="R87" s="2"/>
    </row>
    <row r="88" spans="1:18" ht="14.5">
      <c r="A88" s="31" t="s">
        <v>185</v>
      </c>
      <c r="C88" s="107">
        <f>-Input!$E60</f>
        <v>0</v>
      </c>
      <c r="D88" s="107">
        <f>-Input!$E61</f>
        <v>0</v>
      </c>
      <c r="E88" s="107">
        <f>-Input!$E62</f>
        <v>0</v>
      </c>
      <c r="F88" s="107">
        <f>-Input!$E63</f>
        <v>0</v>
      </c>
      <c r="G88" s="107">
        <f>-Input!$E64</f>
        <v>0</v>
      </c>
      <c r="H88" s="107">
        <f>-Input!$E65</f>
        <v>0</v>
      </c>
      <c r="I88" s="107">
        <f>-Input!$E66</f>
        <v>0</v>
      </c>
      <c r="J88" s="107">
        <f>-Input!$E67</f>
        <v>0</v>
      </c>
      <c r="K88" s="107">
        <f>-Input!$E68</f>
        <v>0</v>
      </c>
      <c r="L88" s="107">
        <f>-Input!$E69</f>
        <v>0</v>
      </c>
      <c r="M88" s="107">
        <f>-Input!$E70</f>
        <v>0</v>
      </c>
      <c r="N88" s="107">
        <f>-Input!$E71</f>
        <v>0</v>
      </c>
      <c r="O88" s="231">
        <f>SUM(C88:N88)</f>
        <v>0</v>
      </c>
      <c r="P88" s="157"/>
      <c r="Q88" s="2"/>
      <c r="R88" s="2"/>
    </row>
    <row r="89" spans="1:18" ht="14.5">
      <c r="A89" s="10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232"/>
    </row>
    <row r="90" spans="1:18" ht="14.5">
      <c r="A90" s="31" t="s">
        <v>186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232"/>
    </row>
    <row r="91" spans="1:18" ht="14.5">
      <c r="A91" s="9" t="s">
        <v>187</v>
      </c>
      <c r="C91" s="527"/>
      <c r="D91" s="527"/>
      <c r="E91" s="527"/>
      <c r="F91" s="527"/>
      <c r="G91" s="527"/>
      <c r="H91" s="527"/>
      <c r="I91" s="527"/>
      <c r="J91" s="527"/>
      <c r="K91" s="527"/>
      <c r="L91" s="527"/>
      <c r="M91" s="527"/>
      <c r="N91" s="527"/>
      <c r="O91" s="332"/>
    </row>
    <row r="92" spans="1:18" ht="14.5">
      <c r="A92" s="9" t="s">
        <v>188</v>
      </c>
      <c r="C92" s="527"/>
      <c r="D92" s="527"/>
      <c r="E92" s="527"/>
      <c r="F92" s="527"/>
      <c r="G92" s="527"/>
      <c r="H92" s="527"/>
      <c r="I92" s="527"/>
      <c r="J92" s="527"/>
      <c r="K92" s="527"/>
      <c r="L92" s="527"/>
      <c r="M92" s="527"/>
      <c r="N92" s="527"/>
      <c r="O92" s="332"/>
    </row>
    <row r="93" spans="1:18" ht="15" thickBot="1">
      <c r="A93" s="10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232"/>
    </row>
    <row r="94" spans="1:18" ht="15" thickBot="1">
      <c r="A94" s="31" t="s">
        <v>189</v>
      </c>
      <c r="C94" s="107">
        <f t="shared" ref="C94:N94" si="24">C73+C79+C82+SUM(C83:C92)+C91-C92</f>
        <v>9262.5219752966659</v>
      </c>
      <c r="D94" s="107">
        <f t="shared" si="24"/>
        <v>39993.815184005929</v>
      </c>
      <c r="E94" s="107">
        <f t="shared" si="24"/>
        <v>56589.530770381833</v>
      </c>
      <c r="F94" s="107">
        <f t="shared" si="24"/>
        <v>39414.783880811861</v>
      </c>
      <c r="G94" s="107">
        <f t="shared" si="24"/>
        <v>49090.095643662229</v>
      </c>
      <c r="H94" s="107">
        <f t="shared" si="24"/>
        <v>51985.662295596572</v>
      </c>
      <c r="I94" s="107">
        <f t="shared" si="24"/>
        <v>44123.878958100766</v>
      </c>
      <c r="J94" s="107">
        <f t="shared" si="24"/>
        <v>95905.738670118808</v>
      </c>
      <c r="K94" s="107">
        <f t="shared" si="24"/>
        <v>48751.821042518386</v>
      </c>
      <c r="L94" s="107">
        <f t="shared" si="24"/>
        <v>52079.235144093975</v>
      </c>
      <c r="M94" s="107">
        <f t="shared" si="24"/>
        <v>47083.002207224614</v>
      </c>
      <c r="N94" s="107">
        <f t="shared" si="24"/>
        <v>30174.994905787047</v>
      </c>
      <c r="O94" s="329">
        <f>SUM(C94:N94)</f>
        <v>564455.08067759871</v>
      </c>
    </row>
    <row r="95" spans="1:18" ht="14.5"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232"/>
    </row>
    <row r="96" spans="1:18" s="7" customFormat="1" ht="14.5">
      <c r="A96" s="360" t="s">
        <v>190</v>
      </c>
      <c r="B96" s="361"/>
      <c r="C96" s="362">
        <f t="shared" ref="C96:O96" si="25">C71+C94</f>
        <v>551377.57701870764</v>
      </c>
      <c r="D96" s="362">
        <f t="shared" si="25"/>
        <v>591371.39220271353</v>
      </c>
      <c r="E96" s="362">
        <f t="shared" si="25"/>
        <v>647960.92297309532</v>
      </c>
      <c r="F96" s="362">
        <f t="shared" si="25"/>
        <v>687375.70685390721</v>
      </c>
      <c r="G96" s="362">
        <f t="shared" si="25"/>
        <v>736465.80249756947</v>
      </c>
      <c r="H96" s="362">
        <f t="shared" si="25"/>
        <v>788451.46479316603</v>
      </c>
      <c r="I96" s="362">
        <f t="shared" si="25"/>
        <v>832575.34375126683</v>
      </c>
      <c r="J96" s="362">
        <f t="shared" si="25"/>
        <v>928481.08242138568</v>
      </c>
      <c r="K96" s="362">
        <f t="shared" si="25"/>
        <v>977232.90346390405</v>
      </c>
      <c r="L96" s="362">
        <f t="shared" si="25"/>
        <v>1029312.138607998</v>
      </c>
      <c r="M96" s="362">
        <f t="shared" si="25"/>
        <v>1076395.1408152226</v>
      </c>
      <c r="N96" s="362">
        <f t="shared" si="25"/>
        <v>1106570.1357210097</v>
      </c>
      <c r="O96" s="363">
        <f t="shared" si="25"/>
        <v>1106570.1357210097</v>
      </c>
      <c r="P96" s="12"/>
    </row>
    <row r="97" spans="1:18" s="7" customFormat="1" ht="14.5">
      <c r="A97" s="12"/>
      <c r="C97" s="236"/>
      <c r="D97" s="236"/>
      <c r="E97" s="236"/>
      <c r="F97" s="236"/>
      <c r="G97" s="236"/>
      <c r="H97" s="236"/>
      <c r="I97" s="236"/>
      <c r="J97" s="236"/>
      <c r="K97" s="236"/>
      <c r="L97" s="236"/>
      <c r="M97" s="236"/>
      <c r="N97" s="236"/>
      <c r="O97" s="246"/>
      <c r="P97" s="12"/>
    </row>
    <row r="98" spans="1:18" s="7" customFormat="1" ht="14.5">
      <c r="A98" s="12"/>
      <c r="C98" s="236"/>
      <c r="D98" s="236"/>
      <c r="E98" s="236"/>
      <c r="F98" s="236"/>
      <c r="G98" s="236"/>
      <c r="H98" s="236"/>
      <c r="I98" s="236"/>
      <c r="J98" s="236"/>
      <c r="K98" s="236"/>
      <c r="L98" s="236"/>
      <c r="M98" s="236"/>
      <c r="N98" s="236"/>
      <c r="O98" s="246"/>
      <c r="P98" s="12"/>
    </row>
    <row r="99" spans="1:18" s="7" customFormat="1" ht="15.5">
      <c r="A99" s="241" t="s">
        <v>86</v>
      </c>
      <c r="C99" s="236"/>
      <c r="D99" s="236"/>
      <c r="E99" s="236"/>
      <c r="F99" s="236"/>
      <c r="G99" s="236"/>
      <c r="H99" s="236"/>
      <c r="I99" s="236"/>
      <c r="J99" s="236"/>
      <c r="K99" s="236"/>
      <c r="L99" s="236"/>
      <c r="M99" s="236"/>
      <c r="N99" s="236"/>
      <c r="O99" s="246"/>
      <c r="P99" s="12"/>
    </row>
    <row r="100" spans="1:18" ht="14.5">
      <c r="A100" s="15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244"/>
    </row>
    <row r="101" spans="1:18" ht="15" thickBot="1">
      <c r="A101" s="243" t="s">
        <v>191</v>
      </c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244"/>
    </row>
    <row r="102" spans="1:18" ht="15" thickTop="1">
      <c r="A102" s="106" t="s">
        <v>192</v>
      </c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251" t="s">
        <v>86</v>
      </c>
    </row>
    <row r="103" spans="1:18" ht="14.5">
      <c r="A103" s="9" t="s">
        <v>194</v>
      </c>
      <c r="C103" s="107">
        <f>'P&amp;LY1'!N106</f>
        <v>0</v>
      </c>
      <c r="D103" s="107">
        <f t="shared" ref="D103:N103" si="26">C105</f>
        <v>0</v>
      </c>
      <c r="E103" s="107">
        <f t="shared" si="26"/>
        <v>0</v>
      </c>
      <c r="F103" s="107">
        <f t="shared" si="26"/>
        <v>0</v>
      </c>
      <c r="G103" s="107">
        <f t="shared" si="26"/>
        <v>0</v>
      </c>
      <c r="H103" s="107">
        <f t="shared" si="26"/>
        <v>0</v>
      </c>
      <c r="I103" s="107">
        <f t="shared" si="26"/>
        <v>0</v>
      </c>
      <c r="J103" s="107">
        <f t="shared" si="26"/>
        <v>0</v>
      </c>
      <c r="K103" s="107">
        <f t="shared" si="26"/>
        <v>0</v>
      </c>
      <c r="L103" s="107">
        <f t="shared" si="26"/>
        <v>0</v>
      </c>
      <c r="M103" s="107">
        <f t="shared" si="26"/>
        <v>0</v>
      </c>
      <c r="N103" s="107">
        <f t="shared" si="26"/>
        <v>0</v>
      </c>
      <c r="O103" s="31"/>
      <c r="P103" s="157"/>
      <c r="Q103" s="2"/>
      <c r="R103" s="2"/>
    </row>
    <row r="104" spans="1:18" ht="14.5">
      <c r="A104" s="9" t="s">
        <v>195</v>
      </c>
      <c r="C104" s="107">
        <f t="shared" ref="C104:N104" si="27">-C83</f>
        <v>0</v>
      </c>
      <c r="D104" s="107">
        <f t="shared" si="27"/>
        <v>0</v>
      </c>
      <c r="E104" s="107">
        <f t="shared" si="27"/>
        <v>0</v>
      </c>
      <c r="F104" s="107">
        <f t="shared" si="27"/>
        <v>0</v>
      </c>
      <c r="G104" s="107">
        <f t="shared" si="27"/>
        <v>0</v>
      </c>
      <c r="H104" s="107">
        <f t="shared" si="27"/>
        <v>0</v>
      </c>
      <c r="I104" s="107">
        <f t="shared" si="27"/>
        <v>0</v>
      </c>
      <c r="J104" s="107">
        <f t="shared" si="27"/>
        <v>0</v>
      </c>
      <c r="K104" s="107">
        <f t="shared" si="27"/>
        <v>0</v>
      </c>
      <c r="L104" s="107">
        <f t="shared" si="27"/>
        <v>0</v>
      </c>
      <c r="M104" s="107">
        <f t="shared" si="27"/>
        <v>0</v>
      </c>
      <c r="N104" s="107">
        <f t="shared" si="27"/>
        <v>0</v>
      </c>
      <c r="O104" s="31"/>
      <c r="P104" s="157"/>
      <c r="Q104" s="2"/>
      <c r="R104" s="2"/>
    </row>
    <row r="105" spans="1:18" ht="14.5">
      <c r="A105" s="9" t="s">
        <v>196</v>
      </c>
      <c r="C105" s="107">
        <f t="shared" ref="C105:N105" si="28">C103-C104</f>
        <v>0</v>
      </c>
      <c r="D105" s="107">
        <f t="shared" si="28"/>
        <v>0</v>
      </c>
      <c r="E105" s="107">
        <f t="shared" si="28"/>
        <v>0</v>
      </c>
      <c r="F105" s="107">
        <f t="shared" si="28"/>
        <v>0</v>
      </c>
      <c r="G105" s="107">
        <f t="shared" si="28"/>
        <v>0</v>
      </c>
      <c r="H105" s="107">
        <f t="shared" si="28"/>
        <v>0</v>
      </c>
      <c r="I105" s="107">
        <f t="shared" si="28"/>
        <v>0</v>
      </c>
      <c r="J105" s="107">
        <f t="shared" si="28"/>
        <v>0</v>
      </c>
      <c r="K105" s="107">
        <f t="shared" si="28"/>
        <v>0</v>
      </c>
      <c r="L105" s="107">
        <f t="shared" si="28"/>
        <v>0</v>
      </c>
      <c r="M105" s="107">
        <f t="shared" si="28"/>
        <v>0</v>
      </c>
      <c r="N105" s="107">
        <f t="shared" si="28"/>
        <v>0</v>
      </c>
      <c r="O105" s="31">
        <f>N105</f>
        <v>0</v>
      </c>
      <c r="P105" s="157"/>
      <c r="Q105" s="2"/>
      <c r="R105" s="2"/>
    </row>
    <row r="106" spans="1:18" ht="14.5">
      <c r="A106" s="245" t="s">
        <v>197</v>
      </c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244"/>
    </row>
    <row r="107" spans="1:18" ht="14.5">
      <c r="A107" s="9" t="s">
        <v>194</v>
      </c>
      <c r="C107" s="230">
        <f>'P&amp;LY1'!N110</f>
        <v>0</v>
      </c>
      <c r="D107" s="236">
        <f t="shared" ref="D107:N107" si="29">C109</f>
        <v>0</v>
      </c>
      <c r="E107" s="236">
        <f t="shared" si="29"/>
        <v>0</v>
      </c>
      <c r="F107" s="236">
        <f t="shared" si="29"/>
        <v>0</v>
      </c>
      <c r="G107" s="236">
        <f t="shared" si="29"/>
        <v>0</v>
      </c>
      <c r="H107" s="236">
        <f t="shared" si="29"/>
        <v>0</v>
      </c>
      <c r="I107" s="236">
        <f t="shared" si="29"/>
        <v>0</v>
      </c>
      <c r="J107" s="236">
        <f t="shared" si="29"/>
        <v>0</v>
      </c>
      <c r="K107" s="236">
        <f t="shared" si="29"/>
        <v>0</v>
      </c>
      <c r="L107" s="236">
        <f t="shared" si="29"/>
        <v>0</v>
      </c>
      <c r="M107" s="236">
        <f t="shared" si="29"/>
        <v>0</v>
      </c>
      <c r="N107" s="236">
        <f t="shared" si="29"/>
        <v>0</v>
      </c>
      <c r="O107" s="246"/>
      <c r="P107" s="12"/>
      <c r="Q107" s="7"/>
      <c r="R107" s="7"/>
    </row>
    <row r="108" spans="1:18" ht="14.5">
      <c r="A108" s="9" t="s">
        <v>195</v>
      </c>
      <c r="C108" s="107">
        <f t="shared" ref="C108:N108" si="30">-C84</f>
        <v>0</v>
      </c>
      <c r="D108" s="107">
        <f t="shared" si="30"/>
        <v>0</v>
      </c>
      <c r="E108" s="107">
        <f t="shared" si="30"/>
        <v>0</v>
      </c>
      <c r="F108" s="107">
        <f t="shared" si="30"/>
        <v>0</v>
      </c>
      <c r="G108" s="107">
        <f t="shared" si="30"/>
        <v>0</v>
      </c>
      <c r="H108" s="107">
        <f t="shared" si="30"/>
        <v>0</v>
      </c>
      <c r="I108" s="107">
        <f t="shared" si="30"/>
        <v>0</v>
      </c>
      <c r="J108" s="107">
        <f t="shared" si="30"/>
        <v>0</v>
      </c>
      <c r="K108" s="107">
        <f t="shared" si="30"/>
        <v>0</v>
      </c>
      <c r="L108" s="107">
        <f t="shared" si="30"/>
        <v>0</v>
      </c>
      <c r="M108" s="107">
        <f t="shared" si="30"/>
        <v>0</v>
      </c>
      <c r="N108" s="107">
        <f t="shared" si="30"/>
        <v>0</v>
      </c>
      <c r="O108" s="31"/>
      <c r="P108" s="157"/>
      <c r="Q108" s="2"/>
      <c r="R108" s="2"/>
    </row>
    <row r="109" spans="1:18" ht="14.5">
      <c r="A109" s="9" t="s">
        <v>196</v>
      </c>
      <c r="C109" s="230">
        <f t="shared" ref="C109:N109" si="31">C107-C108</f>
        <v>0</v>
      </c>
      <c r="D109" s="230">
        <f t="shared" si="31"/>
        <v>0</v>
      </c>
      <c r="E109" s="230">
        <f t="shared" si="31"/>
        <v>0</v>
      </c>
      <c r="F109" s="230">
        <f t="shared" si="31"/>
        <v>0</v>
      </c>
      <c r="G109" s="230">
        <f t="shared" si="31"/>
        <v>0</v>
      </c>
      <c r="H109" s="230">
        <f t="shared" si="31"/>
        <v>0</v>
      </c>
      <c r="I109" s="230">
        <f t="shared" si="31"/>
        <v>0</v>
      </c>
      <c r="J109" s="230">
        <f t="shared" si="31"/>
        <v>0</v>
      </c>
      <c r="K109" s="230">
        <f t="shared" si="31"/>
        <v>0</v>
      </c>
      <c r="L109" s="230">
        <f t="shared" si="31"/>
        <v>0</v>
      </c>
      <c r="M109" s="230">
        <f t="shared" si="31"/>
        <v>0</v>
      </c>
      <c r="N109" s="230">
        <f t="shared" si="31"/>
        <v>0</v>
      </c>
      <c r="O109" s="248">
        <f>N109</f>
        <v>0</v>
      </c>
      <c r="P109" s="289"/>
      <c r="Q109" s="14"/>
      <c r="R109" s="14"/>
    </row>
    <row r="110" spans="1:18" ht="14.5">
      <c r="A110" s="245" t="s">
        <v>198</v>
      </c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244"/>
    </row>
    <row r="111" spans="1:18" ht="14.5">
      <c r="A111" s="9" t="s">
        <v>194</v>
      </c>
      <c r="C111" s="107">
        <f>'P&amp;LY1'!N116</f>
        <v>36000</v>
      </c>
      <c r="D111" s="236">
        <f t="shared" ref="D111:N111" si="32">C114</f>
        <v>36000</v>
      </c>
      <c r="E111" s="236">
        <f t="shared" si="32"/>
        <v>36000</v>
      </c>
      <c r="F111" s="236">
        <f t="shared" si="32"/>
        <v>36000</v>
      </c>
      <c r="G111" s="236">
        <f t="shared" si="32"/>
        <v>36000</v>
      </c>
      <c r="H111" s="236">
        <f t="shared" si="32"/>
        <v>36000</v>
      </c>
      <c r="I111" s="236">
        <f t="shared" si="32"/>
        <v>36000</v>
      </c>
      <c r="J111" s="236">
        <f t="shared" si="32"/>
        <v>36000</v>
      </c>
      <c r="K111" s="236">
        <f t="shared" si="32"/>
        <v>36000</v>
      </c>
      <c r="L111" s="236">
        <f t="shared" si="32"/>
        <v>36000</v>
      </c>
      <c r="M111" s="236">
        <f t="shared" si="32"/>
        <v>36000</v>
      </c>
      <c r="N111" s="236">
        <f t="shared" si="32"/>
        <v>36000</v>
      </c>
      <c r="O111" s="246"/>
      <c r="P111" s="12"/>
      <c r="Q111" s="7"/>
      <c r="R111" s="7"/>
    </row>
    <row r="112" spans="1:18" ht="14.5">
      <c r="A112" s="9" t="s">
        <v>200</v>
      </c>
      <c r="B112" s="1" t="s">
        <v>201</v>
      </c>
      <c r="C112" s="524"/>
      <c r="D112" s="525"/>
      <c r="E112" s="525"/>
      <c r="F112" s="525"/>
      <c r="G112" s="525"/>
      <c r="H112" s="525"/>
      <c r="I112" s="525"/>
      <c r="J112" s="525"/>
      <c r="K112" s="525"/>
      <c r="L112" s="525"/>
      <c r="M112" s="525"/>
      <c r="N112" s="525"/>
      <c r="O112" s="330"/>
      <c r="P112" s="12"/>
      <c r="Q112" s="7"/>
      <c r="R112" s="7"/>
    </row>
    <row r="113" spans="1:23" ht="14.5">
      <c r="A113" s="9" t="s">
        <v>195</v>
      </c>
      <c r="B113" s="1" t="s">
        <v>201</v>
      </c>
      <c r="C113" s="524"/>
      <c r="D113" s="524"/>
      <c r="E113" s="524"/>
      <c r="F113" s="524"/>
      <c r="G113" s="524"/>
      <c r="H113" s="524"/>
      <c r="I113" s="524"/>
      <c r="J113" s="524"/>
      <c r="K113" s="524"/>
      <c r="L113" s="524"/>
      <c r="M113" s="524"/>
      <c r="N113" s="524"/>
      <c r="O113" s="331"/>
      <c r="P113" s="31"/>
      <c r="Q113" s="107"/>
      <c r="R113" s="107"/>
      <c r="S113" s="107"/>
      <c r="T113" s="107"/>
      <c r="U113" s="107"/>
      <c r="V113" s="107"/>
      <c r="W113" s="107"/>
    </row>
    <row r="114" spans="1:23" ht="14.5">
      <c r="A114" s="9" t="s">
        <v>196</v>
      </c>
      <c r="C114" s="230">
        <f t="shared" ref="C114:N114" si="33">C111+C112-C113</f>
        <v>36000</v>
      </c>
      <c r="D114" s="230">
        <f t="shared" si="33"/>
        <v>36000</v>
      </c>
      <c r="E114" s="230">
        <f t="shared" si="33"/>
        <v>36000</v>
      </c>
      <c r="F114" s="230">
        <f t="shared" si="33"/>
        <v>36000</v>
      </c>
      <c r="G114" s="230">
        <f t="shared" si="33"/>
        <v>36000</v>
      </c>
      <c r="H114" s="230">
        <f t="shared" si="33"/>
        <v>36000</v>
      </c>
      <c r="I114" s="230">
        <f t="shared" si="33"/>
        <v>36000</v>
      </c>
      <c r="J114" s="230">
        <f t="shared" si="33"/>
        <v>36000</v>
      </c>
      <c r="K114" s="230">
        <f t="shared" si="33"/>
        <v>36000</v>
      </c>
      <c r="L114" s="230">
        <f t="shared" si="33"/>
        <v>36000</v>
      </c>
      <c r="M114" s="230">
        <f t="shared" si="33"/>
        <v>36000</v>
      </c>
      <c r="N114" s="230">
        <f t="shared" si="33"/>
        <v>36000</v>
      </c>
      <c r="O114" s="248">
        <f>N114</f>
        <v>36000</v>
      </c>
      <c r="P114" s="289"/>
      <c r="Q114" s="14"/>
      <c r="R114" s="14"/>
    </row>
    <row r="115" spans="1:23" ht="14.5">
      <c r="A115" s="245" t="s">
        <v>202</v>
      </c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244"/>
    </row>
    <row r="116" spans="1:23" ht="14.5">
      <c r="A116" s="9" t="s">
        <v>194</v>
      </c>
      <c r="C116" s="107">
        <f>'P&amp;LY1'!N120</f>
        <v>0</v>
      </c>
      <c r="D116" s="107">
        <f t="shared" ref="D116:N116" si="34">C118</f>
        <v>0</v>
      </c>
      <c r="E116" s="107">
        <f t="shared" si="34"/>
        <v>0</v>
      </c>
      <c r="F116" s="107">
        <f t="shared" si="34"/>
        <v>0</v>
      </c>
      <c r="G116" s="107">
        <f t="shared" si="34"/>
        <v>0</v>
      </c>
      <c r="H116" s="107">
        <f t="shared" si="34"/>
        <v>0</v>
      </c>
      <c r="I116" s="107">
        <f t="shared" si="34"/>
        <v>0</v>
      </c>
      <c r="J116" s="107">
        <f t="shared" si="34"/>
        <v>0</v>
      </c>
      <c r="K116" s="107">
        <f t="shared" si="34"/>
        <v>0</v>
      </c>
      <c r="L116" s="107">
        <f t="shared" si="34"/>
        <v>0</v>
      </c>
      <c r="M116" s="107">
        <f t="shared" si="34"/>
        <v>0</v>
      </c>
      <c r="N116" s="107">
        <f t="shared" si="34"/>
        <v>0</v>
      </c>
      <c r="O116" s="31"/>
      <c r="P116" s="157"/>
      <c r="Q116" s="2"/>
      <c r="R116" s="2"/>
    </row>
    <row r="117" spans="1:23" ht="14.5">
      <c r="A117" s="9" t="s">
        <v>195</v>
      </c>
      <c r="C117" s="247">
        <f t="shared" ref="C117:N117" si="35">-C86</f>
        <v>0</v>
      </c>
      <c r="D117" s="247">
        <f t="shared" si="35"/>
        <v>0</v>
      </c>
      <c r="E117" s="247">
        <f t="shared" si="35"/>
        <v>0</v>
      </c>
      <c r="F117" s="247">
        <f t="shared" si="35"/>
        <v>0</v>
      </c>
      <c r="G117" s="247">
        <f t="shared" si="35"/>
        <v>0</v>
      </c>
      <c r="H117" s="247">
        <f t="shared" si="35"/>
        <v>0</v>
      </c>
      <c r="I117" s="247">
        <f t="shared" si="35"/>
        <v>0</v>
      </c>
      <c r="J117" s="247">
        <f t="shared" si="35"/>
        <v>0</v>
      </c>
      <c r="K117" s="247">
        <f t="shared" si="35"/>
        <v>0</v>
      </c>
      <c r="L117" s="247">
        <f t="shared" si="35"/>
        <v>0</v>
      </c>
      <c r="M117" s="247">
        <f t="shared" si="35"/>
        <v>0</v>
      </c>
      <c r="N117" s="247">
        <f t="shared" si="35"/>
        <v>0</v>
      </c>
      <c r="O117" s="248"/>
      <c r="P117" s="289"/>
      <c r="Q117" s="14"/>
      <c r="R117" s="14"/>
    </row>
    <row r="118" spans="1:23" ht="14.5">
      <c r="A118" s="9" t="s">
        <v>196</v>
      </c>
      <c r="C118" s="107">
        <f t="shared" ref="C118:N118" si="36">C116-C117</f>
        <v>0</v>
      </c>
      <c r="D118" s="107">
        <f t="shared" si="36"/>
        <v>0</v>
      </c>
      <c r="E118" s="107">
        <f t="shared" si="36"/>
        <v>0</v>
      </c>
      <c r="F118" s="107">
        <f t="shared" si="36"/>
        <v>0</v>
      </c>
      <c r="G118" s="107">
        <f t="shared" si="36"/>
        <v>0</v>
      </c>
      <c r="H118" s="107">
        <f t="shared" si="36"/>
        <v>0</v>
      </c>
      <c r="I118" s="107">
        <f t="shared" si="36"/>
        <v>0</v>
      </c>
      <c r="J118" s="107">
        <f t="shared" si="36"/>
        <v>0</v>
      </c>
      <c r="K118" s="107">
        <f t="shared" si="36"/>
        <v>0</v>
      </c>
      <c r="L118" s="107">
        <f t="shared" si="36"/>
        <v>0</v>
      </c>
      <c r="M118" s="107">
        <f t="shared" si="36"/>
        <v>0</v>
      </c>
      <c r="N118" s="107">
        <f t="shared" si="36"/>
        <v>0</v>
      </c>
      <c r="O118" s="31">
        <f>N118</f>
        <v>0</v>
      </c>
      <c r="P118" s="157"/>
      <c r="Q118" s="2"/>
      <c r="R118" s="2"/>
    </row>
    <row r="119" spans="1:23" ht="14.5">
      <c r="A119" s="212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31"/>
      <c r="P119" s="157"/>
      <c r="Q119" s="2"/>
      <c r="R119" s="2"/>
    </row>
    <row r="120" spans="1:23" ht="14.5">
      <c r="A120" s="212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31"/>
      <c r="P120" s="157"/>
      <c r="Q120" s="2"/>
      <c r="R120" s="2"/>
    </row>
    <row r="121" spans="1:23" ht="15.5">
      <c r="A121" s="249" t="s">
        <v>203</v>
      </c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31"/>
      <c r="P121" s="157"/>
      <c r="Q121" s="2"/>
      <c r="R121" s="2"/>
    </row>
    <row r="122" spans="1:23" ht="15.5">
      <c r="A122" s="42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31"/>
      <c r="P122" s="157"/>
      <c r="Q122" s="2"/>
      <c r="R122" s="2"/>
    </row>
    <row r="123" spans="1:23" ht="14.5">
      <c r="A123" s="239" t="s">
        <v>204</v>
      </c>
      <c r="C123" s="205">
        <f>VLOOKUP(MONTH(C6),Input!$R$37:$X$48,5)</f>
        <v>4.2460115949388512E-2</v>
      </c>
      <c r="D123" s="205">
        <f>VLOOKUP(MONTH(D6),Input!$R$37:$X$48,5)</f>
        <v>4.2460115949388512E-2</v>
      </c>
      <c r="E123" s="205">
        <f>VLOOKUP(MONTH(E6),Input!$R$37:$X$48,5)</f>
        <v>0.53219288223096772</v>
      </c>
      <c r="F123" s="205">
        <f>VLOOKUP(MONTH(F6),Input!$R$37:$X$48,5)</f>
        <v>4.3205958275147047E-2</v>
      </c>
      <c r="G123" s="205">
        <f>VLOOKUP(MONTH(G6),Input!$R$37:$X$48,5)</f>
        <v>4.2460115949388512E-2</v>
      </c>
      <c r="H123" s="205">
        <f>VLOOKUP(MONTH(H6),Input!$R$37:$X$48,5)</f>
        <v>4.2460115949388512E-2</v>
      </c>
      <c r="I123" s="205">
        <f>VLOOKUP(MONTH(I6),Input!$R$37:$X$48,5)</f>
        <v>4.2460115949388512E-2</v>
      </c>
      <c r="J123" s="205">
        <f>VLOOKUP(MONTH(J6),Input!$R$37:$X$48,5)</f>
        <v>4.2460115949388512E-2</v>
      </c>
      <c r="K123" s="205">
        <f>VLOOKUP(MONTH(K6),Input!$R$37:$X$48,5)</f>
        <v>4.2460115949388512E-2</v>
      </c>
      <c r="L123" s="205">
        <f>VLOOKUP(MONTH(L6),Input!$R$37:$X$48,5)</f>
        <v>4.2460115949388512E-2</v>
      </c>
      <c r="M123" s="205">
        <f>VLOOKUP(MONTH(M6),Input!$R$37:$X$48,5)</f>
        <v>4.2460115949388512E-2</v>
      </c>
      <c r="N123" s="205">
        <f>VLOOKUP(MONTH(N6),Input!$R$37:$X$48,5)</f>
        <v>4.2460115949388512E-2</v>
      </c>
      <c r="O123" s="290"/>
      <c r="P123" s="291"/>
      <c r="Q123" s="217"/>
      <c r="R123" s="217"/>
    </row>
    <row r="124" spans="1:23" ht="14.5">
      <c r="A124" s="250" t="s">
        <v>205</v>
      </c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251" t="s">
        <v>206</v>
      </c>
    </row>
    <row r="125" spans="1:23" ht="14.5">
      <c r="A125" s="9" t="s">
        <v>207</v>
      </c>
      <c r="C125" s="236">
        <f>'P&amp;LY1'!N130</f>
        <v>1415.7657705802212</v>
      </c>
      <c r="D125" s="236">
        <f>C128</f>
        <v>1352.8886220270977</v>
      </c>
      <c r="E125" s="236">
        <f t="shared" ref="E125:N125" si="37">D128</f>
        <v>1204.5701066526817</v>
      </c>
      <c r="F125" s="236">
        <f t="shared" si="37"/>
        <v>3661.691185232914</v>
      </c>
      <c r="G125" s="236">
        <f t="shared" si="37"/>
        <v>3486.5522704790146</v>
      </c>
      <c r="H125" s="236">
        <f t="shared" si="37"/>
        <v>3308.6236553896247</v>
      </c>
      <c r="I125" s="236">
        <f t="shared" si="37"/>
        <v>3183.6615323276928</v>
      </c>
      <c r="J125" s="236">
        <f t="shared" si="37"/>
        <v>3318.0912542578508</v>
      </c>
      <c r="K125" s="236">
        <f t="shared" si="37"/>
        <v>3342.7445421891807</v>
      </c>
      <c r="L125" s="236">
        <f t="shared" si="37"/>
        <v>3548.6638590298003</v>
      </c>
      <c r="M125" s="236">
        <f t="shared" si="37"/>
        <v>3676.9200224085193</v>
      </c>
      <c r="N125" s="236">
        <f t="shared" si="37"/>
        <v>3794.9512586619958</v>
      </c>
      <c r="O125" s="31"/>
      <c r="P125" s="12"/>
      <c r="Q125" s="7"/>
      <c r="R125" s="7"/>
    </row>
    <row r="126" spans="1:23" ht="14.5">
      <c r="A126" s="9" t="s">
        <v>208</v>
      </c>
      <c r="C126" s="236">
        <f t="shared" ref="C126:N126" si="38">C20</f>
        <v>289.37302698319138</v>
      </c>
      <c r="D126" s="236">
        <f t="shared" si="38"/>
        <v>374.81439380448364</v>
      </c>
      <c r="E126" s="236">
        <f t="shared" si="38"/>
        <v>381.76646705937418</v>
      </c>
      <c r="F126" s="236">
        <f t="shared" si="38"/>
        <v>405.61335539383896</v>
      </c>
      <c r="G126" s="236">
        <f t="shared" si="38"/>
        <v>404.42449351945777</v>
      </c>
      <c r="H126" s="236">
        <f t="shared" si="38"/>
        <v>351.45800149199994</v>
      </c>
      <c r="I126" s="236">
        <f t="shared" si="38"/>
        <v>92.066156499910164</v>
      </c>
      <c r="J126" s="236">
        <f t="shared" si="38"/>
        <v>201.84259049873822</v>
      </c>
      <c r="K126" s="236">
        <f t="shared" si="38"/>
        <v>20.576561589448403</v>
      </c>
      <c r="L126" s="236">
        <f t="shared" si="38"/>
        <v>98.239715051349052</v>
      </c>
      <c r="M126" s="236">
        <f t="shared" si="38"/>
        <v>108.46464217659138</v>
      </c>
      <c r="N126" s="236">
        <f t="shared" si="38"/>
        <v>102.89213709205953</v>
      </c>
      <c r="O126" s="31"/>
      <c r="P126" s="12"/>
      <c r="Q126" s="7"/>
      <c r="R126" s="7"/>
    </row>
    <row r="127" spans="1:23" s="13" customFormat="1" ht="14.5">
      <c r="A127" s="364" t="s">
        <v>209</v>
      </c>
      <c r="B127" s="357">
        <f>O20</f>
        <v>2831.531541160442</v>
      </c>
      <c r="C127" s="365">
        <f>(C123*$B$127)+ ((Input!P72-Input!P52)*'P&amp;LY2'!C123)</f>
        <v>226.49587843006776</v>
      </c>
      <c r="D127" s="365">
        <f>(D123*$B$127)+ ((Input!P72-Input!P52)*'P&amp;LY2'!D123)</f>
        <v>226.49587843006776</v>
      </c>
      <c r="E127" s="365">
        <f>(E123*$B$127)+ ((Input!P72-Input!P52)*'P&amp;LY2'!E123)</f>
        <v>2838.8875456396063</v>
      </c>
      <c r="F127" s="365">
        <f>(F123*$B$127)+ ((Input!P72-Input!P52)*'P&amp;LY2'!F123)</f>
        <v>230.47444063993942</v>
      </c>
      <c r="G127" s="365">
        <f>(G123*$B$127)+ ((Input!P72-Input!P52)*'P&amp;LY2'!G123)</f>
        <v>226.49587843006776</v>
      </c>
      <c r="H127" s="365">
        <f>(H123*$B$127)+ ((Input!P72-Input!P52)*'P&amp;LY2'!H123)</f>
        <v>226.49587843006776</v>
      </c>
      <c r="I127" s="365">
        <f>(I123*$B$127)+ ((Input!P72-Input!P52)*'P&amp;LY2'!I123)</f>
        <v>226.49587843006776</v>
      </c>
      <c r="J127" s="365">
        <f>(J123*$B$127)+ ((Input!P72-Input!P52)*'P&amp;LY2'!J123)</f>
        <v>226.49587843006776</v>
      </c>
      <c r="K127" s="365">
        <f>(K123*$B$127)+ ((Input!P72-Input!P52)*'P&amp;LY2'!K123)</f>
        <v>226.49587843006776</v>
      </c>
      <c r="L127" s="365">
        <f>(L123*$B$127)+ ((Input!P72-Input!P52)*'P&amp;LY2'!L123)</f>
        <v>226.49587843006776</v>
      </c>
      <c r="M127" s="365">
        <f>(M123*$B$127)+ ((Input!P72-Input!P52)*'P&amp;LY2'!M123)</f>
        <v>226.49587843006776</v>
      </c>
      <c r="N127" s="365">
        <f>(N123*$B$127)+ ((Input!P72-Input!P52)*'P&amp;LY2'!N123)</f>
        <v>226.49587843006776</v>
      </c>
      <c r="O127" s="357"/>
      <c r="P127" s="12"/>
      <c r="Q127" s="12"/>
      <c r="R127" s="12"/>
    </row>
    <row r="128" spans="1:23" s="37" customFormat="1" ht="14.5">
      <c r="A128" s="253" t="s">
        <v>210</v>
      </c>
      <c r="C128" s="236">
        <f>C125-C126+C127</f>
        <v>1352.8886220270977</v>
      </c>
      <c r="D128" s="236">
        <f t="shared" ref="D128:N128" si="39">D125-D126+D127</f>
        <v>1204.5701066526817</v>
      </c>
      <c r="E128" s="236">
        <f t="shared" si="39"/>
        <v>3661.691185232914</v>
      </c>
      <c r="F128" s="236">
        <f t="shared" si="39"/>
        <v>3486.5522704790146</v>
      </c>
      <c r="G128" s="236">
        <f t="shared" si="39"/>
        <v>3308.6236553896247</v>
      </c>
      <c r="H128" s="236">
        <f t="shared" si="39"/>
        <v>3183.6615323276928</v>
      </c>
      <c r="I128" s="236">
        <f t="shared" si="39"/>
        <v>3318.0912542578508</v>
      </c>
      <c r="J128" s="236">
        <f t="shared" si="39"/>
        <v>3342.7445421891807</v>
      </c>
      <c r="K128" s="236">
        <f t="shared" si="39"/>
        <v>3548.6638590298003</v>
      </c>
      <c r="L128" s="236">
        <f t="shared" si="39"/>
        <v>3676.9200224085193</v>
      </c>
      <c r="M128" s="236">
        <f t="shared" si="39"/>
        <v>3794.9512586619958</v>
      </c>
      <c r="N128" s="236">
        <f t="shared" si="39"/>
        <v>3918.5550000000044</v>
      </c>
      <c r="O128" s="31">
        <f>N128</f>
        <v>3918.5550000000044</v>
      </c>
      <c r="P128" s="246"/>
      <c r="Q128" s="236"/>
      <c r="R128" s="236"/>
    </row>
    <row r="129" spans="1:18" ht="14.5">
      <c r="A129" s="31"/>
      <c r="C129" s="236"/>
      <c r="D129" s="236"/>
      <c r="E129" s="236"/>
      <c r="F129" s="236"/>
      <c r="G129" s="236"/>
      <c r="H129" s="236"/>
      <c r="I129" s="236"/>
      <c r="J129" s="236"/>
      <c r="K129" s="236"/>
      <c r="L129" s="236"/>
      <c r="M129" s="236"/>
      <c r="N129" s="236"/>
      <c r="O129" s="31"/>
      <c r="P129" s="12"/>
      <c r="Q129" s="7"/>
      <c r="R129" s="7"/>
    </row>
    <row r="130" spans="1:18" ht="14.5">
      <c r="A130" s="239" t="s">
        <v>204</v>
      </c>
      <c r="C130" s="205">
        <f>VLOOKUP(MONTH(C6),Input!$R$37:$X$48,7)</f>
        <v>8.6366573421234605E-2</v>
      </c>
      <c r="D130" s="205">
        <f>VLOOKUP(MONTH(D6),Input!$R$37:$X$48,7)</f>
        <v>6.6569242892847158E-2</v>
      </c>
      <c r="E130" s="205">
        <f>VLOOKUP(MONTH(E6),Input!$R$37:$X$48,7)</f>
        <v>7.107007564416587E-2</v>
      </c>
      <c r="F130" s="205">
        <f>VLOOKUP(MONTH(F6),Input!$R$37:$X$48,7)</f>
        <v>8.7324651535178627E-2</v>
      </c>
      <c r="G130" s="205">
        <f>VLOOKUP(MONTH(G6),Input!$R$37:$X$48,7)</f>
        <v>0.1041771956064088</v>
      </c>
      <c r="H130" s="205">
        <f>VLOOKUP(MONTH(H6),Input!$R$37:$X$48,7)</f>
        <v>7.8583796009938894E-2</v>
      </c>
      <c r="I130" s="205">
        <f>VLOOKUP(MONTH(I6),Input!$R$37:$X$48,7)</f>
        <v>9.0196017733953429E-2</v>
      </c>
      <c r="J130" s="205">
        <f>VLOOKUP(MONTH(J6),Input!$R$37:$X$48,7)</f>
        <v>0.11609599097524102</v>
      </c>
      <c r="K130" s="205">
        <f>VLOOKUP(MONTH(K6),Input!$R$37:$X$48,7)</f>
        <v>6.6705637051546682E-2</v>
      </c>
      <c r="L130" s="205">
        <f>VLOOKUP(MONTH(L6),Input!$R$37:$X$48,7)</f>
        <v>7.2517718603444054E-2</v>
      </c>
      <c r="M130" s="205">
        <f>VLOOKUP(MONTH(M6),Input!$R$37:$X$48,7)</f>
        <v>7.5013655790175854E-2</v>
      </c>
      <c r="N130" s="205">
        <f>VLOOKUP(MONTH(N6),Input!$R$37:$X$48,7)</f>
        <v>8.5379444735864965E-2</v>
      </c>
      <c r="O130" s="31"/>
      <c r="P130" s="291"/>
      <c r="Q130" s="217"/>
      <c r="R130" s="217"/>
    </row>
    <row r="131" spans="1:18" ht="14.5">
      <c r="A131" s="250" t="s">
        <v>211</v>
      </c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1"/>
    </row>
    <row r="132" spans="1:18" ht="14.5">
      <c r="A132" s="9" t="s">
        <v>212</v>
      </c>
      <c r="C132" s="230">
        <f>'P&amp;LY1'!N139</f>
        <v>109308.02613795525</v>
      </c>
      <c r="D132" s="236">
        <f t="shared" ref="D132:N132" si="40">C135</f>
        <v>121889.10666008618</v>
      </c>
      <c r="E132" s="236">
        <f t="shared" si="40"/>
        <v>119886.9853930778</v>
      </c>
      <c r="F132" s="236">
        <f t="shared" si="40"/>
        <v>113424.66809071129</v>
      </c>
      <c r="G132" s="236">
        <f t="shared" si="40"/>
        <v>116449.24369262287</v>
      </c>
      <c r="H132" s="236">
        <f t="shared" si="40"/>
        <v>126578.16856576837</v>
      </c>
      <c r="I132" s="236">
        <f t="shared" si="40"/>
        <v>121869.1911623335</v>
      </c>
      <c r="J132" s="236">
        <f t="shared" si="40"/>
        <v>128776.82435189365</v>
      </c>
      <c r="K132" s="236">
        <f t="shared" si="40"/>
        <v>123630.05821123143</v>
      </c>
      <c r="L132" s="236">
        <f t="shared" si="40"/>
        <v>117358.03479028292</v>
      </c>
      <c r="M132" s="236">
        <f t="shared" si="40"/>
        <v>113297.78936672464</v>
      </c>
      <c r="N132" s="236">
        <f t="shared" si="40"/>
        <v>112327.39494597254</v>
      </c>
      <c r="O132" s="31"/>
      <c r="P132" s="12"/>
      <c r="Q132" s="7"/>
      <c r="R132" s="7"/>
    </row>
    <row r="133" spans="1:18" ht="14.5">
      <c r="A133" s="9" t="s">
        <v>213</v>
      </c>
      <c r="C133" s="107">
        <f t="shared" ref="C133:N133" si="41">C16</f>
        <v>35604.868915634346</v>
      </c>
      <c r="D133" s="107">
        <f t="shared" si="41"/>
        <v>39142.672814655918</v>
      </c>
      <c r="E133" s="107">
        <f t="shared" si="41"/>
        <v>46113.989655109683</v>
      </c>
      <c r="F133" s="107">
        <f t="shared" si="41"/>
        <v>45695.908224879095</v>
      </c>
      <c r="G133" s="107">
        <f t="shared" si="41"/>
        <v>47993.99098661905</v>
      </c>
      <c r="H133" s="107">
        <f t="shared" si="41"/>
        <v>48552.731661162223</v>
      </c>
      <c r="I133" s="107">
        <f t="shared" si="41"/>
        <v>43414.853599611029</v>
      </c>
      <c r="J133" s="107">
        <f t="shared" si="41"/>
        <v>69919.459203008431</v>
      </c>
      <c r="K133" s="107">
        <f t="shared" si="41"/>
        <v>43488.672488439137</v>
      </c>
      <c r="L133" s="107">
        <f t="shared" si="41"/>
        <v>44519.591945560132</v>
      </c>
      <c r="M133" s="107">
        <f t="shared" si="41"/>
        <v>42822.283199734673</v>
      </c>
      <c r="N133" s="107">
        <f t="shared" si="41"/>
        <v>39271.10799536261</v>
      </c>
      <c r="O133" s="31"/>
      <c r="P133" s="157"/>
      <c r="Q133" s="2"/>
      <c r="R133" s="2"/>
    </row>
    <row r="134" spans="1:18" s="13" customFormat="1" ht="14.5">
      <c r="A134" s="364" t="s">
        <v>214</v>
      </c>
      <c r="B134" s="357">
        <f>O16</f>
        <v>546540.13068977639</v>
      </c>
      <c r="C134" s="357">
        <f>$B$134*C130 + ((Input!P73-Input!P54)*'P&amp;LY2'!C130)</f>
        <v>48185.949437765274</v>
      </c>
      <c r="D134" s="357">
        <f>$B$134*D130 + ((Input!P73-Input!P54)*'P&amp;LY2'!D130)</f>
        <v>37140.551547647534</v>
      </c>
      <c r="E134" s="357">
        <f>$B$134*E130 + ((Input!P73-Input!P54)*'P&amp;LY2'!E130)</f>
        <v>39651.67235274316</v>
      </c>
      <c r="F134" s="357">
        <f>$B$134*F130 + ((Input!P73-Input!P54)*'P&amp;LY2'!F130)</f>
        <v>48720.483826790667</v>
      </c>
      <c r="G134" s="357">
        <f>$B$134*G130 + ((Input!P73-Input!P54)*'P&amp;LY2'!G130)</f>
        <v>58122.915859764566</v>
      </c>
      <c r="H134" s="357">
        <f>$B$134*H130 + ((Input!P73-Input!P54)*'P&amp;LY2'!H130)</f>
        <v>43843.754257727349</v>
      </c>
      <c r="I134" s="357">
        <f>$B$134*I130 + ((Input!P73-Input!P54)*'P&amp;LY2'!I130)</f>
        <v>50322.486789171169</v>
      </c>
      <c r="J134" s="357">
        <f>$B$134*J130 + ((Input!P73-Input!P54)*'P&amp;LY2'!J130)</f>
        <v>64772.69306234621</v>
      </c>
      <c r="K134" s="357">
        <f>$B$134*K130 + ((Input!P73-Input!P54)*'P&amp;LY2'!K130)</f>
        <v>37216.649067490616</v>
      </c>
      <c r="L134" s="357">
        <f>$B$134*L130 + ((Input!P73-Input!P54)*'P&amp;LY2'!L130)</f>
        <v>40459.346522001848</v>
      </c>
      <c r="M134" s="357">
        <f>$B$134*M130 + ((Input!P73-Input!P54)*'P&amp;LY2'!M130)</f>
        <v>41851.88877898256</v>
      </c>
      <c r="N134" s="357">
        <f>$B$134*N130 + ((Input!P73-Input!P54)*'P&amp;LY2'!N130)</f>
        <v>47635.207049390119</v>
      </c>
      <c r="O134" s="357"/>
      <c r="P134" s="157"/>
      <c r="Q134" s="157"/>
      <c r="R134" s="157"/>
    </row>
    <row r="135" spans="1:18" ht="14.5">
      <c r="A135" s="253" t="s">
        <v>215</v>
      </c>
      <c r="B135" s="2"/>
      <c r="C135" s="107">
        <f t="shared" ref="C135:N135" si="42">C132-C133+C134</f>
        <v>121889.10666008618</v>
      </c>
      <c r="D135" s="107">
        <f t="shared" si="42"/>
        <v>119886.9853930778</v>
      </c>
      <c r="E135" s="107">
        <f t="shared" si="42"/>
        <v>113424.66809071129</v>
      </c>
      <c r="F135" s="107">
        <f t="shared" si="42"/>
        <v>116449.24369262287</v>
      </c>
      <c r="G135" s="107">
        <f t="shared" si="42"/>
        <v>126578.16856576837</v>
      </c>
      <c r="H135" s="107">
        <f t="shared" si="42"/>
        <v>121869.1911623335</v>
      </c>
      <c r="I135" s="107">
        <f t="shared" si="42"/>
        <v>128776.82435189365</v>
      </c>
      <c r="J135" s="107">
        <f t="shared" si="42"/>
        <v>123630.05821123143</v>
      </c>
      <c r="K135" s="107">
        <f t="shared" si="42"/>
        <v>117358.03479028292</v>
      </c>
      <c r="L135" s="107">
        <f t="shared" si="42"/>
        <v>113297.78936672464</v>
      </c>
      <c r="M135" s="107">
        <f t="shared" si="42"/>
        <v>112327.39494597254</v>
      </c>
      <c r="N135" s="107">
        <f t="shared" si="42"/>
        <v>120691.49400000006</v>
      </c>
      <c r="O135" s="31">
        <f>N135</f>
        <v>120691.49400000006</v>
      </c>
      <c r="P135" s="157"/>
      <c r="Q135" s="2"/>
      <c r="R135" s="2"/>
    </row>
    <row r="136" spans="1:18" s="255" customFormat="1" ht="15.5">
      <c r="A136" s="254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</row>
    <row r="137" spans="1:18" s="13" customFormat="1" ht="14.5">
      <c r="A137" s="252"/>
      <c r="B137" s="157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157"/>
      <c r="Q137" s="157"/>
      <c r="R137" s="157"/>
    </row>
    <row r="138" spans="1:18" s="13" customFormat="1" ht="15.5">
      <c r="A138" s="249" t="s">
        <v>216</v>
      </c>
      <c r="B138" s="157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157"/>
      <c r="Q138" s="157"/>
      <c r="R138" s="157"/>
    </row>
    <row r="139" spans="1:18" s="13" customFormat="1" ht="14.5">
      <c r="A139" s="231" t="s">
        <v>217</v>
      </c>
      <c r="C139" s="258">
        <f>VLOOKUP(MONTH(C6),Input!$R$81:$T$92,3)</f>
        <v>5</v>
      </c>
      <c r="D139" s="258">
        <f>VLOOKUP(MONTH(D6),Input!$R$81:$T$92,3)</f>
        <v>4</v>
      </c>
      <c r="E139" s="258">
        <f>VLOOKUP(MONTH(E6),Input!$R$81:$T$92,3)</f>
        <v>4</v>
      </c>
      <c r="F139" s="258">
        <f>VLOOKUP(MONTH(F6),Input!$R$81:$T$92,3)</f>
        <v>5</v>
      </c>
      <c r="G139" s="258">
        <f>VLOOKUP(MONTH(G6),Input!$R$81:$T$92,3)</f>
        <v>4</v>
      </c>
      <c r="H139" s="258">
        <f>VLOOKUP(MONTH(H6),Input!$R$81:$T$92,3)</f>
        <v>4</v>
      </c>
      <c r="I139" s="258">
        <f>VLOOKUP(MONTH(I6),Input!$R$81:$T$92,3)</f>
        <v>5</v>
      </c>
      <c r="J139" s="258">
        <f>VLOOKUP(MONTH(J6),Input!$R$81:$T$92,3)</f>
        <v>4</v>
      </c>
      <c r="K139" s="258">
        <f>VLOOKUP(MONTH(K6),Input!$R$81:$T$92,3)</f>
        <v>4</v>
      </c>
      <c r="L139" s="258">
        <f>VLOOKUP(MONTH(L6),Input!$R$81:$T$92,3)</f>
        <v>5</v>
      </c>
      <c r="M139" s="258">
        <f>VLOOKUP(MONTH(M6),Input!$R$81:$T$92,3)</f>
        <v>4</v>
      </c>
      <c r="N139" s="258">
        <f>VLOOKUP(MONTH(N6),Input!$R$81:$T$92,3)</f>
        <v>4</v>
      </c>
      <c r="O139" s="31"/>
      <c r="P139" s="157"/>
      <c r="Q139" s="157"/>
      <c r="R139" s="157"/>
    </row>
    <row r="140" spans="1:18" s="13" customFormat="1" ht="14.5">
      <c r="A140" s="252"/>
      <c r="B140" s="157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250" t="s">
        <v>218</v>
      </c>
      <c r="P140" s="157"/>
      <c r="Q140" s="157"/>
      <c r="R140" s="157"/>
    </row>
    <row r="141" spans="1:18" ht="14.5">
      <c r="A141" s="37" t="s">
        <v>219</v>
      </c>
      <c r="C141" s="257">
        <f>140*C139</f>
        <v>700</v>
      </c>
      <c r="D141" s="257">
        <f t="shared" ref="D141:N141" si="43">140*D139</f>
        <v>560</v>
      </c>
      <c r="E141" s="257">
        <f t="shared" si="43"/>
        <v>560</v>
      </c>
      <c r="F141" s="257">
        <f t="shared" si="43"/>
        <v>700</v>
      </c>
      <c r="G141" s="257">
        <f t="shared" si="43"/>
        <v>560</v>
      </c>
      <c r="H141" s="257">
        <f t="shared" si="43"/>
        <v>560</v>
      </c>
      <c r="I141" s="257">
        <f t="shared" si="43"/>
        <v>700</v>
      </c>
      <c r="J141" s="257">
        <f t="shared" si="43"/>
        <v>560</v>
      </c>
      <c r="K141" s="257">
        <f t="shared" si="43"/>
        <v>560</v>
      </c>
      <c r="L141" s="257">
        <f t="shared" si="43"/>
        <v>700</v>
      </c>
      <c r="M141" s="257">
        <f t="shared" si="43"/>
        <v>560</v>
      </c>
      <c r="N141" s="257">
        <f t="shared" si="43"/>
        <v>560</v>
      </c>
      <c r="O141" s="258">
        <f>SUM(C141:N141)</f>
        <v>7280</v>
      </c>
    </row>
    <row r="142" spans="1:18" ht="14.5">
      <c r="A142" s="37" t="s">
        <v>220</v>
      </c>
      <c r="C142" s="257" t="e">
        <f>(Input!$V$26+Input!$V$27-$O$141)*C8</f>
        <v>#DIV/0!</v>
      </c>
      <c r="D142" s="257" t="e">
        <f>(Input!$V$26+Input!$V$27-$O$141)*D8</f>
        <v>#DIV/0!</v>
      </c>
      <c r="E142" s="257" t="e">
        <f>(Input!$V$26+Input!$V$27-$O$141)*E8</f>
        <v>#DIV/0!</v>
      </c>
      <c r="F142" s="257" t="e">
        <f>(Input!$V$26+Input!$V$27-$O$141)*F8</f>
        <v>#DIV/0!</v>
      </c>
      <c r="G142" s="257" t="e">
        <f>(Input!$V$26+Input!$V$27-$O$141)*G8</f>
        <v>#DIV/0!</v>
      </c>
      <c r="H142" s="257" t="e">
        <f>(Input!$V$26+Input!$V$27-$O$141)*H8</f>
        <v>#DIV/0!</v>
      </c>
      <c r="I142" s="257" t="e">
        <f>(Input!$V$26+Input!$V$27-$O$141)*I8</f>
        <v>#DIV/0!</v>
      </c>
      <c r="J142" s="257" t="e">
        <f>(Input!$V$26+Input!$V$27-$O$141)*J8</f>
        <v>#DIV/0!</v>
      </c>
      <c r="K142" s="257" t="e">
        <f>(Input!$V$26+Input!$V$27-$O$141)*K8</f>
        <v>#DIV/0!</v>
      </c>
      <c r="L142" s="257" t="e">
        <f>(Input!$V$26+Input!$V$27-$O$141)*L8</f>
        <v>#DIV/0!</v>
      </c>
      <c r="M142" s="257" t="e">
        <f>(Input!$V$26+Input!$V$27-$O$141)*M8</f>
        <v>#DIV/0!</v>
      </c>
      <c r="N142" s="257" t="e">
        <f>(Input!$V$26+Input!$V$27-$O$141)*N8</f>
        <v>#DIV/0!</v>
      </c>
      <c r="O142" s="258" t="e">
        <f>SUM(C142:N142)</f>
        <v>#DIV/0!</v>
      </c>
    </row>
    <row r="143" spans="1:18" s="13" customFormat="1" ht="14.5">
      <c r="A143" s="367" t="s">
        <v>221</v>
      </c>
      <c r="B143" s="368"/>
      <c r="C143" s="369" t="e">
        <f t="shared" ref="C143:N143" si="44">SUM(C141:C142)</f>
        <v>#DIV/0!</v>
      </c>
      <c r="D143" s="369" t="e">
        <f t="shared" si="44"/>
        <v>#DIV/0!</v>
      </c>
      <c r="E143" s="369" t="e">
        <f t="shared" si="44"/>
        <v>#DIV/0!</v>
      </c>
      <c r="F143" s="369" t="e">
        <f t="shared" si="44"/>
        <v>#DIV/0!</v>
      </c>
      <c r="G143" s="369" t="e">
        <f t="shared" si="44"/>
        <v>#DIV/0!</v>
      </c>
      <c r="H143" s="369" t="e">
        <f t="shared" si="44"/>
        <v>#DIV/0!</v>
      </c>
      <c r="I143" s="369" t="e">
        <f t="shared" si="44"/>
        <v>#DIV/0!</v>
      </c>
      <c r="J143" s="369" t="e">
        <f t="shared" si="44"/>
        <v>#DIV/0!</v>
      </c>
      <c r="K143" s="369" t="e">
        <f t="shared" si="44"/>
        <v>#DIV/0!</v>
      </c>
      <c r="L143" s="369" t="e">
        <f t="shared" si="44"/>
        <v>#DIV/0!</v>
      </c>
      <c r="M143" s="369" t="e">
        <f t="shared" si="44"/>
        <v>#DIV/0!</v>
      </c>
      <c r="N143" s="369" t="e">
        <f t="shared" si="44"/>
        <v>#DIV/0!</v>
      </c>
      <c r="O143" s="369" t="e">
        <f>SUM(C143:N143)</f>
        <v>#DIV/0!</v>
      </c>
    </row>
    <row r="144" spans="1:18" ht="14.5">
      <c r="C144" s="25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244"/>
    </row>
    <row r="145" spans="3:15" ht="14.5">
      <c r="C145" s="25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244"/>
    </row>
  </sheetData>
  <sheetProtection algorithmName="SHA-512" hashValue="5V7YJptdaiSb9nn6RuMUv1Kn+bOojWrC+jOeunnnRVdCUJJJzj880vR41KXr9yXCwC06F11mwW5Mh2e9UUIKxA==" saltValue="23EoZH7NwLQlWSSnRzJK/A==" spinCount="100000" sheet="1" objects="1" scenarios="1" selectLockedCells="1"/>
  <mergeCells count="1">
    <mergeCell ref="P71:Q71"/>
  </mergeCells>
  <phoneticPr fontId="2" type="noConversion"/>
  <conditionalFormatting sqref="C1:O1048576">
    <cfRule type="cellIs" dxfId="1" priority="1" operator="lessThan">
      <formula>0</formula>
    </cfRule>
  </conditionalFormatting>
  <pageMargins left="0.75" right="0.75" top="1" bottom="1" header="0.5" footer="0.5"/>
  <pageSetup scale="40" fitToHeight="2" orientation="landscape" r:id="rId1"/>
  <headerFooter alignWithMargins="0">
    <oddHeader>&amp;C&amp;18&amp;A</oddHeader>
    <oddFooter>&amp;L&amp;14&amp;D&amp;C&amp;14&amp;F&amp;R&amp;14&amp;P</oddFooter>
  </headerFooter>
  <rowBreaks count="1" manualBreakCount="1">
    <brk id="6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45"/>
  <sheetViews>
    <sheetView topLeftCell="A4" zoomScaleNormal="100" workbookViewId="0">
      <selection activeCell="H24" sqref="H24:J26"/>
    </sheetView>
  </sheetViews>
  <sheetFormatPr defaultColWidth="9.1796875" defaultRowHeight="13"/>
  <cols>
    <col min="1" max="1" width="33.7265625" style="1" customWidth="1"/>
    <col min="2" max="2" width="12.7265625" style="1" customWidth="1"/>
    <col min="3" max="4" width="15.81640625" style="1" customWidth="1"/>
    <col min="5" max="5" width="9.1796875" style="1"/>
    <col min="6" max="7" width="12.1796875" style="1" customWidth="1"/>
    <col min="8" max="9" width="11.1796875" style="1" customWidth="1"/>
    <col min="10" max="10" width="10.26953125" style="1" customWidth="1"/>
    <col min="11" max="16384" width="9.1796875" style="1"/>
  </cols>
  <sheetData>
    <row r="1" spans="1:13" ht="24.75" customHeight="1" thickBot="1">
      <c r="A1" s="569" t="s">
        <v>251</v>
      </c>
      <c r="B1" s="570"/>
      <c r="C1" s="570"/>
      <c r="D1" s="571"/>
      <c r="F1" s="569" t="s">
        <v>252</v>
      </c>
      <c r="G1" s="570"/>
      <c r="H1" s="570"/>
      <c r="I1" s="570"/>
      <c r="J1" s="571"/>
    </row>
    <row r="2" spans="1:13" ht="13.5" thickBot="1"/>
    <row r="3" spans="1:13" ht="12.75" customHeight="1">
      <c r="A3" s="5"/>
      <c r="F3" s="572" t="s">
        <v>253</v>
      </c>
      <c r="G3" s="573"/>
      <c r="H3" s="563">
        <f>H6/7</f>
        <v>1625.134750117149</v>
      </c>
      <c r="I3" s="564"/>
      <c r="J3" s="565"/>
    </row>
    <row r="4" spans="1:13" ht="13.5" customHeight="1" thickBot="1">
      <c r="A4" s="4"/>
      <c r="F4" s="574"/>
      <c r="G4" s="575"/>
      <c r="H4" s="566"/>
      <c r="I4" s="567"/>
      <c r="J4" s="568"/>
    </row>
    <row r="5" spans="1:13" ht="19" thickBot="1">
      <c r="A5" s="3"/>
      <c r="F5" s="272"/>
      <c r="G5" s="272"/>
    </row>
    <row r="6" spans="1:13" ht="13.5" customHeight="1" thickBot="1">
      <c r="F6" s="572" t="s">
        <v>254</v>
      </c>
      <c r="G6" s="573"/>
      <c r="H6" s="563">
        <f>H12/52</f>
        <v>11375.943250820043</v>
      </c>
      <c r="I6" s="564"/>
      <c r="J6" s="565"/>
    </row>
    <row r="7" spans="1:13" s="6" customFormat="1" ht="16.5" customHeight="1" thickBot="1">
      <c r="A7" s="399" t="s">
        <v>255</v>
      </c>
      <c r="B7" s="400" t="s">
        <v>45</v>
      </c>
      <c r="C7" s="400" t="s">
        <v>256</v>
      </c>
      <c r="D7" s="401" t="s">
        <v>257</v>
      </c>
      <c r="F7" s="574"/>
      <c r="G7" s="575"/>
      <c r="H7" s="566"/>
      <c r="I7" s="567"/>
      <c r="J7" s="568"/>
    </row>
    <row r="8" spans="1:13" ht="19" thickBot="1">
      <c r="A8" s="2" t="s">
        <v>258</v>
      </c>
      <c r="B8" s="409">
        <f>'P&amp;LY1'!P16</f>
        <v>0.34254767540461128</v>
      </c>
      <c r="C8" s="430">
        <f>D8/12</f>
        <v>44245.741406428955</v>
      </c>
      <c r="D8" s="430">
        <f>'P&amp;LY1'!O16</f>
        <v>530948.89687714749</v>
      </c>
      <c r="F8" s="272"/>
      <c r="G8" s="272"/>
    </row>
    <row r="9" spans="1:13" ht="12.75" customHeight="1">
      <c r="A9" s="2" t="s">
        <v>259</v>
      </c>
      <c r="B9" s="410">
        <f>'P&amp;LY1'!P20</f>
        <v>1.8233910780039221E-3</v>
      </c>
      <c r="C9" s="431">
        <f t="shared" ref="C9:C18" si="0">D9/12</f>
        <v>235.52134757550661</v>
      </c>
      <c r="D9" s="431">
        <f>'P&amp;LY1'!O20</f>
        <v>2826.2561709060792</v>
      </c>
      <c r="F9" s="572" t="s">
        <v>260</v>
      </c>
      <c r="G9" s="573"/>
      <c r="H9" s="563">
        <f>H12/12</f>
        <v>49295.754086886853</v>
      </c>
      <c r="I9" s="564"/>
      <c r="J9" s="565"/>
    </row>
    <row r="10" spans="1:13" ht="13.5" customHeight="1" thickBot="1">
      <c r="A10" s="2" t="str">
        <f>'P&amp;LY1'!A38</f>
        <v>ADVERTISING</v>
      </c>
      <c r="B10" s="410">
        <f>'P&amp;LY1'!P38</f>
        <v>5.5E-2</v>
      </c>
      <c r="C10" s="431">
        <f t="shared" si="0"/>
        <v>7104.166666666667</v>
      </c>
      <c r="D10" s="431">
        <f>'P&amp;LY1'!O38</f>
        <v>85250</v>
      </c>
      <c r="F10" s="574"/>
      <c r="G10" s="575"/>
      <c r="H10" s="566"/>
      <c r="I10" s="567"/>
      <c r="J10" s="568"/>
    </row>
    <row r="11" spans="1:13" ht="19" thickBot="1">
      <c r="A11" s="2" t="str">
        <f>'P&amp;LY1'!A40</f>
        <v xml:space="preserve">ROYALTY </v>
      </c>
      <c r="B11" s="410">
        <f>'P&amp;LY1'!P40</f>
        <v>0.05</v>
      </c>
      <c r="C11" s="431">
        <f t="shared" si="0"/>
        <v>6458.333333333333</v>
      </c>
      <c r="D11" s="431">
        <f>'P&amp;LY1'!O40</f>
        <v>77500</v>
      </c>
      <c r="F11" s="272"/>
      <c r="G11" s="272"/>
      <c r="M11" s="217"/>
    </row>
    <row r="12" spans="1:13" ht="12.75" customHeight="1">
      <c r="A12" s="2" t="str">
        <f>'P&amp;LY1'!A32</f>
        <v>HOURLY LABOR COST</v>
      </c>
      <c r="B12" s="410">
        <f>'P&amp;LY1'!P32</f>
        <v>0</v>
      </c>
      <c r="C12" s="431">
        <f t="shared" si="0"/>
        <v>0</v>
      </c>
      <c r="D12" s="431">
        <f>'P&amp;LY1'!O32</f>
        <v>0</v>
      </c>
      <c r="F12" s="572" t="s">
        <v>261</v>
      </c>
      <c r="G12" s="573"/>
      <c r="H12" s="563">
        <f>D45/H19</f>
        <v>591549.04904264223</v>
      </c>
      <c r="I12" s="564"/>
      <c r="J12" s="565"/>
    </row>
    <row r="13" spans="1:13" ht="13.5" customHeight="1" thickBot="1">
      <c r="A13" s="2" t="s">
        <v>262</v>
      </c>
      <c r="B13" s="410">
        <f>'P&amp;LY1'!P18</f>
        <v>0</v>
      </c>
      <c r="C13" s="431">
        <f t="shared" si="0"/>
        <v>0</v>
      </c>
      <c r="D13" s="431">
        <f>'P&amp;LY1'!O18</f>
        <v>0</v>
      </c>
      <c r="F13" s="574"/>
      <c r="G13" s="575"/>
      <c r="H13" s="566"/>
      <c r="I13" s="567"/>
      <c r="J13" s="568"/>
    </row>
    <row r="14" spans="1:13">
      <c r="A14" s="7" t="str">
        <f>'P&amp;LY1'!A41</f>
        <v>BANK/CREDIT CARD CHARGES</v>
      </c>
      <c r="B14" s="410">
        <f>SUM('P&amp;LY1'!P41:P42)</f>
        <v>0</v>
      </c>
      <c r="C14" s="431">
        <f t="shared" si="0"/>
        <v>0</v>
      </c>
      <c r="D14" s="431">
        <f>SUM('P&amp;LY1'!O41:O42)</f>
        <v>0</v>
      </c>
    </row>
    <row r="15" spans="1:13">
      <c r="A15" s="7" t="s">
        <v>263</v>
      </c>
      <c r="B15" s="410">
        <f>'P&amp;LY1'!P17</f>
        <v>1.2500000000000001E-2</v>
      </c>
      <c r="C15" s="431">
        <f t="shared" si="0"/>
        <v>1614.5833333333333</v>
      </c>
      <c r="D15" s="431">
        <f>'P&amp;LY1'!O17</f>
        <v>19375</v>
      </c>
      <c r="F15" s="3"/>
      <c r="G15" s="3"/>
      <c r="H15" s="3"/>
      <c r="I15" s="3"/>
    </row>
    <row r="16" spans="1:13">
      <c r="A16" s="7" t="s">
        <v>28</v>
      </c>
      <c r="B16" s="410">
        <f>'P&amp;LY1'!P33</f>
        <v>3.4838709677419357E-3</v>
      </c>
      <c r="C16" s="431">
        <f t="shared" si="0"/>
        <v>450</v>
      </c>
      <c r="D16" s="431">
        <f>'P&amp;LY1'!O33</f>
        <v>5400</v>
      </c>
      <c r="F16" s="3"/>
      <c r="G16" s="3"/>
      <c r="H16" s="3"/>
      <c r="I16" s="3"/>
    </row>
    <row r="17" spans="1:10" ht="13.5" thickBot="1">
      <c r="A17" s="10" t="s">
        <v>35</v>
      </c>
      <c r="B17" s="410">
        <f>'P&amp;LY1'!P34</f>
        <v>7.7419354838709683E-5</v>
      </c>
      <c r="C17" s="431">
        <f t="shared" si="0"/>
        <v>10</v>
      </c>
      <c r="D17" s="431">
        <f>'P&amp;LY1'!O34</f>
        <v>120</v>
      </c>
    </row>
    <row r="18" spans="1:10" ht="13.5" thickBot="1">
      <c r="A18" s="11" t="s">
        <v>76</v>
      </c>
      <c r="B18" s="411">
        <f>'P&amp;LY1'!P49</f>
        <v>0.02</v>
      </c>
      <c r="C18" s="432">
        <f t="shared" si="0"/>
        <v>2583.3333333333335</v>
      </c>
      <c r="D18" s="432">
        <f>'P&amp;LY1'!O49</f>
        <v>31000</v>
      </c>
      <c r="F18" s="560" t="s">
        <v>264</v>
      </c>
      <c r="G18" s="561"/>
      <c r="H18" s="561"/>
      <c r="I18" s="561"/>
      <c r="J18" s="562"/>
    </row>
    <row r="19" spans="1:10" ht="12.75" customHeight="1" thickBot="1">
      <c r="A19" s="7"/>
      <c r="B19" s="412">
        <f>SUM(B8:B18)</f>
        <v>0.48543235680519592</v>
      </c>
      <c r="C19" s="433">
        <f>SUM(C8:C18)</f>
        <v>62701.679420671135</v>
      </c>
      <c r="D19" s="413">
        <f>SUM(D8:D18)</f>
        <v>752420.15304805362</v>
      </c>
      <c r="F19" s="586" t="s">
        <v>265</v>
      </c>
      <c r="G19" s="587"/>
      <c r="H19" s="592">
        <f>100%-B19</f>
        <v>0.51456764319480408</v>
      </c>
      <c r="I19" s="593"/>
      <c r="J19" s="594"/>
    </row>
    <row r="20" spans="1:10" ht="13.5" customHeight="1" thickBot="1">
      <c r="F20" s="588"/>
      <c r="G20" s="589"/>
      <c r="H20" s="595"/>
      <c r="I20" s="596"/>
      <c r="J20" s="597"/>
    </row>
    <row r="21" spans="1:10" s="6" customFormat="1" ht="16.5" customHeight="1" thickBot="1">
      <c r="A21" s="399" t="s">
        <v>266</v>
      </c>
      <c r="B21" s="402" t="s">
        <v>45</v>
      </c>
      <c r="C21" s="402" t="s">
        <v>256</v>
      </c>
      <c r="D21" s="401" t="s">
        <v>257</v>
      </c>
      <c r="F21" s="590"/>
      <c r="G21" s="591"/>
      <c r="H21" s="598"/>
      <c r="I21" s="599"/>
      <c r="J21" s="600"/>
    </row>
    <row r="22" spans="1:10">
      <c r="A22" s="10" t="s">
        <v>267</v>
      </c>
      <c r="B22" s="434">
        <f>D22/$H$12</f>
        <v>0</v>
      </c>
      <c r="C22" s="435">
        <f t="shared" ref="C22:C44" si="1">D22/12</f>
        <v>0</v>
      </c>
      <c r="D22" s="407">
        <f>'P&amp;LY1'!O30</f>
        <v>0</v>
      </c>
    </row>
    <row r="23" spans="1:10" ht="13.5" thickBot="1">
      <c r="A23" s="10" t="s">
        <v>268</v>
      </c>
      <c r="B23" s="436">
        <f t="shared" ref="B23:B44" si="2">D23/$H$12</f>
        <v>0.10142861373389657</v>
      </c>
      <c r="C23" s="437">
        <f t="shared" si="1"/>
        <v>5000</v>
      </c>
      <c r="D23" s="408">
        <f>'P&amp;LY1'!O31</f>
        <v>60000</v>
      </c>
    </row>
    <row r="24" spans="1:10" ht="12.75" customHeight="1" thickBot="1">
      <c r="A24" s="10" t="s">
        <v>32</v>
      </c>
      <c r="B24" s="436">
        <f t="shared" si="2"/>
        <v>0</v>
      </c>
      <c r="C24" s="437">
        <f t="shared" si="1"/>
        <v>0</v>
      </c>
      <c r="D24" s="408">
        <f>'P&amp;LY1'!O35</f>
        <v>0</v>
      </c>
      <c r="F24" s="576" t="s">
        <v>269</v>
      </c>
      <c r="G24" s="577"/>
      <c r="H24" s="604"/>
      <c r="I24" s="605"/>
      <c r="J24" s="606"/>
    </row>
    <row r="25" spans="1:10" ht="12.75" customHeight="1" thickBot="1">
      <c r="A25" s="11" t="s">
        <v>43</v>
      </c>
      <c r="B25" s="436">
        <f t="shared" si="2"/>
        <v>0</v>
      </c>
      <c r="C25" s="437">
        <f t="shared" si="1"/>
        <v>0</v>
      </c>
      <c r="D25" s="408">
        <f>'P&amp;LY1'!O39</f>
        <v>0</v>
      </c>
      <c r="F25" s="578"/>
      <c r="G25" s="579"/>
      <c r="H25" s="604"/>
      <c r="I25" s="605"/>
      <c r="J25" s="606"/>
    </row>
    <row r="26" spans="1:10" ht="13.5" customHeight="1" thickBot="1">
      <c r="A26" s="11" t="s">
        <v>270</v>
      </c>
      <c r="B26" s="436">
        <f t="shared" si="2"/>
        <v>0.32051441939911318</v>
      </c>
      <c r="C26" s="437">
        <f t="shared" si="1"/>
        <v>15800</v>
      </c>
      <c r="D26" s="408">
        <f>'P&amp;LY1'!O43</f>
        <v>189600</v>
      </c>
      <c r="F26" s="580"/>
      <c r="G26" s="581"/>
      <c r="H26" s="604"/>
      <c r="I26" s="605"/>
      <c r="J26" s="606"/>
    </row>
    <row r="27" spans="1:10" ht="12.75" customHeight="1" thickBot="1">
      <c r="A27" s="11" t="s">
        <v>58</v>
      </c>
      <c r="B27" s="436">
        <f t="shared" si="2"/>
        <v>1.217143364806759E-3</v>
      </c>
      <c r="C27" s="437">
        <f t="shared" si="1"/>
        <v>60</v>
      </c>
      <c r="D27" s="408">
        <f>'P&amp;LY1'!O44</f>
        <v>720</v>
      </c>
      <c r="F27" s="582" t="s">
        <v>271</v>
      </c>
      <c r="G27" s="583"/>
      <c r="H27" s="601">
        <f>H24/H19</f>
        <v>0</v>
      </c>
      <c r="I27" s="602"/>
      <c r="J27" s="603"/>
    </row>
    <row r="28" spans="1:10" ht="12.75" customHeight="1" thickBot="1">
      <c r="A28" s="11" t="s">
        <v>63</v>
      </c>
      <c r="B28" s="436">
        <f t="shared" si="2"/>
        <v>0</v>
      </c>
      <c r="C28" s="437">
        <f t="shared" si="1"/>
        <v>0</v>
      </c>
      <c r="D28" s="408">
        <f>'P&amp;LY1'!O45</f>
        <v>0</v>
      </c>
      <c r="F28" s="582"/>
      <c r="G28" s="583"/>
      <c r="H28" s="601"/>
      <c r="I28" s="602"/>
      <c r="J28" s="603"/>
    </row>
    <row r="29" spans="1:10" ht="13.5" customHeight="1" thickBot="1">
      <c r="A29" s="10" t="s">
        <v>67</v>
      </c>
      <c r="B29" s="436">
        <f t="shared" si="2"/>
        <v>5.4568594188836358E-3</v>
      </c>
      <c r="C29" s="437">
        <f t="shared" si="1"/>
        <v>269</v>
      </c>
      <c r="D29" s="408">
        <f>'P&amp;LY1'!O46</f>
        <v>3228</v>
      </c>
      <c r="F29" s="584"/>
      <c r="G29" s="585"/>
      <c r="H29" s="601"/>
      <c r="I29" s="602"/>
      <c r="J29" s="603"/>
    </row>
    <row r="30" spans="1:10">
      <c r="A30" s="10" t="s">
        <v>70</v>
      </c>
      <c r="B30" s="436">
        <f t="shared" si="2"/>
        <v>6.2682883287548084E-3</v>
      </c>
      <c r="C30" s="437">
        <f t="shared" si="1"/>
        <v>309</v>
      </c>
      <c r="D30" s="408">
        <f>'P&amp;LY1'!O47</f>
        <v>3708</v>
      </c>
    </row>
    <row r="31" spans="1:10">
      <c r="A31" s="10" t="s">
        <v>71</v>
      </c>
      <c r="B31" s="436">
        <f t="shared" si="2"/>
        <v>9.6560040274669533E-3</v>
      </c>
      <c r="C31" s="437">
        <f t="shared" si="1"/>
        <v>476</v>
      </c>
      <c r="D31" s="408">
        <f>'P&amp;LY1'!O48</f>
        <v>5712</v>
      </c>
    </row>
    <row r="32" spans="1:10">
      <c r="A32" s="11" t="s">
        <v>272</v>
      </c>
      <c r="B32" s="436">
        <f t="shared" si="2"/>
        <v>2.190858056652166E-3</v>
      </c>
      <c r="C32" s="437">
        <f t="shared" si="1"/>
        <v>108</v>
      </c>
      <c r="D32" s="408">
        <f>'P&amp;LY1'!O50</f>
        <v>1296</v>
      </c>
    </row>
    <row r="33" spans="1:9">
      <c r="A33" s="11" t="s">
        <v>273</v>
      </c>
      <c r="B33" s="436">
        <f t="shared" si="2"/>
        <v>6.8768600111581875E-3</v>
      </c>
      <c r="C33" s="437">
        <f t="shared" si="1"/>
        <v>339</v>
      </c>
      <c r="D33" s="408">
        <f>'P&amp;LY1'!O51</f>
        <v>4068</v>
      </c>
      <c r="I33" s="7"/>
    </row>
    <row r="34" spans="1:9">
      <c r="A34" s="11" t="s">
        <v>81</v>
      </c>
      <c r="B34" s="436">
        <f t="shared" si="2"/>
        <v>1.6472006870384803E-2</v>
      </c>
      <c r="C34" s="437">
        <f t="shared" si="1"/>
        <v>812</v>
      </c>
      <c r="D34" s="408">
        <f>'P&amp;LY1'!O52</f>
        <v>9744</v>
      </c>
    </row>
    <row r="35" spans="1:9">
      <c r="A35" s="11" t="s">
        <v>25</v>
      </c>
      <c r="B35" s="436">
        <f t="shared" si="2"/>
        <v>1.5031720555363472E-2</v>
      </c>
      <c r="C35" s="437">
        <f t="shared" si="1"/>
        <v>741</v>
      </c>
      <c r="D35" s="408">
        <f>'P&amp;LY1'!O53</f>
        <v>8892</v>
      </c>
    </row>
    <row r="36" spans="1:9">
      <c r="A36" s="11" t="s">
        <v>274</v>
      </c>
      <c r="B36" s="436">
        <f t="shared" si="2"/>
        <v>1.0690575887552699E-2</v>
      </c>
      <c r="C36" s="437">
        <f t="shared" si="1"/>
        <v>527</v>
      </c>
      <c r="D36" s="408">
        <f>'P&amp;LY1'!O54</f>
        <v>6324</v>
      </c>
    </row>
    <row r="37" spans="1:9">
      <c r="A37" s="11" t="s">
        <v>36</v>
      </c>
      <c r="B37" s="436">
        <f t="shared" si="2"/>
        <v>0</v>
      </c>
      <c r="C37" s="437">
        <f t="shared" si="1"/>
        <v>0</v>
      </c>
      <c r="D37" s="408">
        <f>'P&amp;LY1'!O55</f>
        <v>0</v>
      </c>
    </row>
    <row r="38" spans="1:9">
      <c r="A38" s="11" t="s">
        <v>275</v>
      </c>
      <c r="B38" s="436">
        <f t="shared" si="2"/>
        <v>1.8764293540770867E-2</v>
      </c>
      <c r="C38" s="437">
        <f t="shared" si="1"/>
        <v>925</v>
      </c>
      <c r="D38" s="408">
        <f>'P&amp;LY1'!O56</f>
        <v>11100</v>
      </c>
    </row>
    <row r="39" spans="1:9">
      <c r="A39" s="11" t="s">
        <v>40</v>
      </c>
      <c r="B39" s="436">
        <f t="shared" si="2"/>
        <v>0</v>
      </c>
      <c r="C39" s="437">
        <f t="shared" si="1"/>
        <v>0</v>
      </c>
      <c r="D39" s="408">
        <f>'P&amp;LY1'!O57</f>
        <v>0</v>
      </c>
    </row>
    <row r="40" spans="1:9">
      <c r="A40" s="352" t="s">
        <v>276</v>
      </c>
      <c r="B40" s="436">
        <f t="shared" si="2"/>
        <v>0</v>
      </c>
      <c r="C40" s="437">
        <f t="shared" si="1"/>
        <v>0</v>
      </c>
      <c r="D40" s="501">
        <v>0</v>
      </c>
    </row>
    <row r="41" spans="1:9">
      <c r="A41" s="352" t="s">
        <v>277</v>
      </c>
      <c r="B41" s="436">
        <f>D41/$H$12</f>
        <v>0</v>
      </c>
      <c r="C41" s="437">
        <f>D41/12</f>
        <v>0</v>
      </c>
      <c r="D41" s="501">
        <v>0</v>
      </c>
    </row>
    <row r="42" spans="1:9">
      <c r="A42" s="352" t="s">
        <v>278</v>
      </c>
      <c r="B42" s="436">
        <f>D42/$H$12</f>
        <v>0</v>
      </c>
      <c r="C42" s="437">
        <f>D42/12</f>
        <v>0</v>
      </c>
      <c r="D42" s="501">
        <v>0</v>
      </c>
    </row>
    <row r="43" spans="1:9">
      <c r="A43" s="352" t="s">
        <v>279</v>
      </c>
      <c r="B43" s="436">
        <f>D43/$H$12</f>
        <v>0</v>
      </c>
      <c r="C43" s="437">
        <f>D43/12</f>
        <v>0</v>
      </c>
      <c r="D43" s="501">
        <v>0</v>
      </c>
    </row>
    <row r="44" spans="1:9" ht="13.5" thickBot="1">
      <c r="A44" s="1" t="s">
        <v>280</v>
      </c>
      <c r="B44" s="438">
        <f t="shared" si="2"/>
        <v>0</v>
      </c>
      <c r="C44" s="439">
        <f t="shared" si="1"/>
        <v>0</v>
      </c>
      <c r="D44" s="429">
        <f>SUM('P&amp;LY1'!O62:O65)</f>
        <v>0</v>
      </c>
    </row>
    <row r="45" spans="1:9" ht="13.5" thickBot="1">
      <c r="B45" s="440"/>
      <c r="C45" s="433">
        <f>SUM(C22:C44)</f>
        <v>25366</v>
      </c>
      <c r="D45" s="413">
        <f>SUM(D22:D44)</f>
        <v>304392</v>
      </c>
    </row>
  </sheetData>
  <sheetProtection algorithmName="SHA-512" hashValue="QOb3VZ0/p4Yw5E9tBPLyPWarGuve2hufftiYdIJhgyZ56ssly0WjDcEBx9OhV0XeQ0pOHIVek7vigfcESML7LQ==" saltValue="zDtP+ggv9kf0RSDPq3epUg==" spinCount="100000" sheet="1" selectLockedCells="1"/>
  <mergeCells count="17">
    <mergeCell ref="F24:G26"/>
    <mergeCell ref="F27:G29"/>
    <mergeCell ref="F19:G21"/>
    <mergeCell ref="H19:J21"/>
    <mergeCell ref="H27:J29"/>
    <mergeCell ref="H24:J26"/>
    <mergeCell ref="A1:D1"/>
    <mergeCell ref="F12:G13"/>
    <mergeCell ref="F3:G4"/>
    <mergeCell ref="F6:G7"/>
    <mergeCell ref="F9:G10"/>
    <mergeCell ref="F1:J1"/>
    <mergeCell ref="F18:J18"/>
    <mergeCell ref="H12:J13"/>
    <mergeCell ref="H9:J10"/>
    <mergeCell ref="H6:J7"/>
    <mergeCell ref="H3:J4"/>
  </mergeCells>
  <pageMargins left="0.7" right="0.7" top="0.75" bottom="0.75" header="0.3" footer="0.3"/>
  <pageSetup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0EFE-C8DB-42B2-884C-E0D91A73BDD2}">
  <sheetPr>
    <pageSetUpPr fitToPage="1"/>
  </sheetPr>
  <dimension ref="A1:O35"/>
  <sheetViews>
    <sheetView zoomScaleNormal="100" workbookViewId="0">
      <selection activeCell="R18" sqref="R18"/>
    </sheetView>
  </sheetViews>
  <sheetFormatPr defaultRowHeight="12.5"/>
  <cols>
    <col min="1" max="1" width="62.81640625" bestFit="1" customWidth="1"/>
    <col min="2" max="2" width="16.26953125" customWidth="1"/>
    <col min="11" max="11" width="11" bestFit="1" customWidth="1"/>
    <col min="13" max="13" width="10.453125" bestFit="1" customWidth="1"/>
    <col min="14" max="14" width="10.1796875" bestFit="1" customWidth="1"/>
    <col min="16" max="16" width="10.26953125" customWidth="1"/>
  </cols>
  <sheetData>
    <row r="1" spans="1:15" ht="13" thickBot="1"/>
    <row r="2" spans="1:15" ht="26.5" thickBot="1">
      <c r="A2" s="470" t="s">
        <v>289</v>
      </c>
    </row>
    <row r="5" spans="1:15" ht="14.5">
      <c r="A5" s="471"/>
      <c r="B5" s="471"/>
      <c r="C5" s="472">
        <f>'P&amp;LY1'!C6</f>
        <v>44561</v>
      </c>
      <c r="D5" s="472">
        <f>'P&amp;LY1'!D6</f>
        <v>44592</v>
      </c>
      <c r="E5" s="472">
        <f>'P&amp;LY1'!E6</f>
        <v>44620</v>
      </c>
      <c r="F5" s="472">
        <f>'P&amp;LY1'!F6</f>
        <v>44651</v>
      </c>
      <c r="G5" s="472">
        <f>'P&amp;LY1'!G6</f>
        <v>44681</v>
      </c>
      <c r="H5" s="472">
        <f>'P&amp;LY1'!H6</f>
        <v>44712</v>
      </c>
      <c r="I5" s="472">
        <f>'P&amp;LY1'!I6</f>
        <v>44742</v>
      </c>
      <c r="J5" s="472">
        <f>'P&amp;LY1'!J6</f>
        <v>44773</v>
      </c>
      <c r="K5" s="472">
        <f>'P&amp;LY1'!K6</f>
        <v>44804</v>
      </c>
      <c r="L5" s="472">
        <f>'P&amp;LY1'!L6</f>
        <v>44834</v>
      </c>
      <c r="M5" s="472">
        <f>'P&amp;LY1'!M6</f>
        <v>44865</v>
      </c>
      <c r="N5" s="472">
        <f>'P&amp;LY1'!N6</f>
        <v>44895</v>
      </c>
    </row>
    <row r="6" spans="1:15" ht="13" thickBot="1"/>
    <row r="7" spans="1:15" ht="16" thickBot="1">
      <c r="A7" s="398" t="s">
        <v>291</v>
      </c>
      <c r="B7" s="473"/>
      <c r="C7" s="474"/>
      <c r="D7" s="474"/>
      <c r="E7" s="474"/>
      <c r="F7" s="474"/>
      <c r="G7" s="474"/>
      <c r="H7" s="474"/>
      <c r="I7" s="474"/>
      <c r="J7" s="474"/>
      <c r="K7" s="474"/>
      <c r="L7" s="474"/>
      <c r="M7" s="474"/>
      <c r="N7" s="475"/>
      <c r="O7" s="31"/>
    </row>
    <row r="8" spans="1:15" ht="14.5">
      <c r="A8" s="476" t="s">
        <v>292</v>
      </c>
      <c r="B8" s="31"/>
      <c r="C8" s="258">
        <f>VLOOKUP(MONTH(C5),Input!$R$81:$T$92,3)</f>
        <v>5</v>
      </c>
      <c r="D8" s="258">
        <f>VLOOKUP(MONTH(D5),Input!$R$81:$T$92,3)</f>
        <v>4</v>
      </c>
      <c r="E8" s="258">
        <f>VLOOKUP(MONTH(E5),Input!$R$81:$T$92,3)</f>
        <v>4</v>
      </c>
      <c r="F8" s="258">
        <f>VLOOKUP(MONTH(F5),Input!$R$81:$T$92,3)</f>
        <v>5</v>
      </c>
      <c r="G8" s="258">
        <f>VLOOKUP(MONTH(G5),Input!$R$81:$T$92,3)</f>
        <v>4</v>
      </c>
      <c r="H8" s="258">
        <f>VLOOKUP(MONTH(H5),Input!$R$81:$T$92,3)</f>
        <v>4</v>
      </c>
      <c r="I8" s="258">
        <f>VLOOKUP(MONTH(I5),Input!$R$81:$T$92,3)</f>
        <v>5</v>
      </c>
      <c r="J8" s="258">
        <f>VLOOKUP(MONTH(J5),Input!$R$81:$T$92,3)</f>
        <v>4</v>
      </c>
      <c r="K8" s="258">
        <f>VLOOKUP(MONTH(K5),Input!$R$81:$T$92,3)</f>
        <v>4</v>
      </c>
      <c r="L8" s="258">
        <f>VLOOKUP(MONTH(L5),Input!$R$81:$T$92,3)</f>
        <v>5</v>
      </c>
      <c r="M8" s="258">
        <f>VLOOKUP(MONTH(M5),Input!$R$81:$T$92,3)</f>
        <v>4</v>
      </c>
      <c r="N8" s="477">
        <f>VLOOKUP(MONTH(N5),Input!$R$81:$T$92,3)</f>
        <v>4</v>
      </c>
      <c r="O8" s="31"/>
    </row>
    <row r="9" spans="1:15" ht="14.5">
      <c r="A9" s="39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478"/>
      <c r="O9" s="250"/>
    </row>
    <row r="10" spans="1:15" ht="14.5">
      <c r="A10" s="479" t="s">
        <v>219</v>
      </c>
      <c r="B10" s="37"/>
      <c r="C10" s="257">
        <f>'P&amp;LY1'!C146</f>
        <v>700</v>
      </c>
      <c r="D10" s="257">
        <f>'P&amp;LY1'!D146</f>
        <v>560</v>
      </c>
      <c r="E10" s="257">
        <f>'P&amp;LY1'!E146</f>
        <v>560</v>
      </c>
      <c r="F10" s="257">
        <f>'P&amp;LY1'!F146</f>
        <v>700</v>
      </c>
      <c r="G10" s="257">
        <f>'P&amp;LY1'!G146</f>
        <v>560</v>
      </c>
      <c r="H10" s="257">
        <f>'P&amp;LY1'!H146</f>
        <v>560</v>
      </c>
      <c r="I10" s="257">
        <f>'P&amp;LY1'!I146</f>
        <v>700</v>
      </c>
      <c r="J10" s="257">
        <f>'P&amp;LY1'!J146</f>
        <v>560</v>
      </c>
      <c r="K10" s="257">
        <f>'P&amp;LY1'!K146</f>
        <v>560</v>
      </c>
      <c r="L10" s="257">
        <f>'P&amp;LY1'!L146</f>
        <v>700</v>
      </c>
      <c r="M10" s="257">
        <f>'P&amp;LY1'!M146</f>
        <v>560</v>
      </c>
      <c r="N10" s="480">
        <f>'P&amp;LY1'!N146</f>
        <v>560</v>
      </c>
      <c r="O10" s="258"/>
    </row>
    <row r="11" spans="1:15" ht="14.5">
      <c r="A11" s="479" t="s">
        <v>220</v>
      </c>
      <c r="B11" s="37"/>
      <c r="C11" s="481" t="e">
        <f>'P&amp;LY1'!C147</f>
        <v>#DIV/0!</v>
      </c>
      <c r="D11" s="481" t="e">
        <f>'P&amp;LY1'!D147</f>
        <v>#DIV/0!</v>
      </c>
      <c r="E11" s="481" t="e">
        <f>'P&amp;LY1'!E147</f>
        <v>#DIV/0!</v>
      </c>
      <c r="F11" s="481" t="e">
        <f>'P&amp;LY1'!F147</f>
        <v>#DIV/0!</v>
      </c>
      <c r="G11" s="481" t="e">
        <f>'P&amp;LY1'!G147</f>
        <v>#DIV/0!</v>
      </c>
      <c r="H11" s="481" t="e">
        <f>'P&amp;LY1'!H147</f>
        <v>#DIV/0!</v>
      </c>
      <c r="I11" s="481" t="e">
        <f>'P&amp;LY1'!I147</f>
        <v>#DIV/0!</v>
      </c>
      <c r="J11" s="481" t="e">
        <f>'P&amp;LY1'!J147</f>
        <v>#DIV/0!</v>
      </c>
      <c r="K11" s="481" t="e">
        <f>'P&amp;LY1'!K147</f>
        <v>#DIV/0!</v>
      </c>
      <c r="L11" s="481" t="e">
        <f>'P&amp;LY1'!L147</f>
        <v>#DIV/0!</v>
      </c>
      <c r="M11" s="481" t="e">
        <f>'P&amp;LY1'!M147</f>
        <v>#DIV/0!</v>
      </c>
      <c r="N11" s="482" t="e">
        <f>'P&amp;LY1'!N147</f>
        <v>#DIV/0!</v>
      </c>
      <c r="O11" s="258"/>
    </row>
    <row r="12" spans="1:15" ht="14.5">
      <c r="A12" s="483" t="s">
        <v>221</v>
      </c>
      <c r="B12" s="244"/>
      <c r="C12" s="481" t="e">
        <f>'P&amp;LY1'!C148</f>
        <v>#DIV/0!</v>
      </c>
      <c r="D12" s="481" t="e">
        <f>'P&amp;LY1'!D148</f>
        <v>#DIV/0!</v>
      </c>
      <c r="E12" s="481" t="e">
        <f>'P&amp;LY1'!E148</f>
        <v>#DIV/0!</v>
      </c>
      <c r="F12" s="481" t="e">
        <f>'P&amp;LY1'!F148</f>
        <v>#DIV/0!</v>
      </c>
      <c r="G12" s="481" t="e">
        <f>'P&amp;LY1'!G148</f>
        <v>#DIV/0!</v>
      </c>
      <c r="H12" s="481" t="e">
        <f>'P&amp;LY1'!H148</f>
        <v>#DIV/0!</v>
      </c>
      <c r="I12" s="481" t="e">
        <f>'P&amp;LY1'!I148</f>
        <v>#DIV/0!</v>
      </c>
      <c r="J12" s="481" t="e">
        <f>'P&amp;LY1'!J148</f>
        <v>#DIV/0!</v>
      </c>
      <c r="K12" s="481" t="e">
        <f>'P&amp;LY1'!K148</f>
        <v>#DIV/0!</v>
      </c>
      <c r="L12" s="481" t="e">
        <f>'P&amp;LY1'!L148</f>
        <v>#DIV/0!</v>
      </c>
      <c r="M12" s="481" t="e">
        <f>'P&amp;LY1'!M148</f>
        <v>#DIV/0!</v>
      </c>
      <c r="N12" s="482" t="e">
        <f>'P&amp;LY1'!N148</f>
        <v>#DIV/0!</v>
      </c>
      <c r="O12" s="258"/>
    </row>
    <row r="13" spans="1:15" ht="14.5">
      <c r="A13" s="479" t="s">
        <v>298</v>
      </c>
      <c r="B13" s="244"/>
      <c r="C13" s="481">
        <f>(Input!T27)/52</f>
        <v>0</v>
      </c>
      <c r="D13" s="481">
        <f>C13</f>
        <v>0</v>
      </c>
      <c r="E13" s="481">
        <f t="shared" ref="E13:N13" si="0">D13</f>
        <v>0</v>
      </c>
      <c r="F13" s="481">
        <f t="shared" si="0"/>
        <v>0</v>
      </c>
      <c r="G13" s="481">
        <f t="shared" si="0"/>
        <v>0</v>
      </c>
      <c r="H13" s="481">
        <f t="shared" si="0"/>
        <v>0</v>
      </c>
      <c r="I13" s="481">
        <f t="shared" si="0"/>
        <v>0</v>
      </c>
      <c r="J13" s="481">
        <f t="shared" si="0"/>
        <v>0</v>
      </c>
      <c r="K13" s="481">
        <f t="shared" si="0"/>
        <v>0</v>
      </c>
      <c r="L13" s="481">
        <f t="shared" si="0"/>
        <v>0</v>
      </c>
      <c r="M13" s="481">
        <f t="shared" si="0"/>
        <v>0</v>
      </c>
      <c r="N13" s="482">
        <f t="shared" si="0"/>
        <v>0</v>
      </c>
      <c r="O13" s="258"/>
    </row>
    <row r="14" spans="1:15" ht="15" thickBot="1">
      <c r="A14" s="484" t="s">
        <v>293</v>
      </c>
      <c r="B14" s="485"/>
      <c r="C14" s="486" t="e">
        <f>(C12/C8)-C13</f>
        <v>#DIV/0!</v>
      </c>
      <c r="D14" s="486" t="e">
        <f t="shared" ref="D14:N14" si="1">(D12/D8)-D13</f>
        <v>#DIV/0!</v>
      </c>
      <c r="E14" s="486" t="e">
        <f t="shared" si="1"/>
        <v>#DIV/0!</v>
      </c>
      <c r="F14" s="486" t="e">
        <f t="shared" si="1"/>
        <v>#DIV/0!</v>
      </c>
      <c r="G14" s="486" t="e">
        <f t="shared" si="1"/>
        <v>#DIV/0!</v>
      </c>
      <c r="H14" s="486" t="e">
        <f t="shared" si="1"/>
        <v>#DIV/0!</v>
      </c>
      <c r="I14" s="486" t="e">
        <f t="shared" si="1"/>
        <v>#DIV/0!</v>
      </c>
      <c r="J14" s="486" t="e">
        <f t="shared" si="1"/>
        <v>#DIV/0!</v>
      </c>
      <c r="K14" s="486" t="e">
        <f t="shared" si="1"/>
        <v>#DIV/0!</v>
      </c>
      <c r="L14" s="486" t="e">
        <f t="shared" si="1"/>
        <v>#DIV/0!</v>
      </c>
      <c r="M14" s="486" t="e">
        <f t="shared" si="1"/>
        <v>#DIV/0!</v>
      </c>
      <c r="N14" s="487" t="e">
        <f t="shared" si="1"/>
        <v>#DIV/0!</v>
      </c>
      <c r="O14" s="37"/>
    </row>
    <row r="15" spans="1:15" ht="14.5">
      <c r="A15" s="37"/>
      <c r="B15" s="37"/>
      <c r="C15" s="25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 spans="1:15" ht="15" thickBot="1">
      <c r="A16" s="37"/>
      <c r="B16" s="37"/>
      <c r="C16" s="25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</row>
    <row r="17" spans="1:15" ht="16" thickBot="1">
      <c r="A17" s="488" t="s">
        <v>290</v>
      </c>
      <c r="B17" s="489" t="s">
        <v>282</v>
      </c>
      <c r="C17" s="458">
        <f>Indices_Margins!B80</f>
        <v>0.14000000000000001</v>
      </c>
      <c r="D17" s="459">
        <f t="shared" ref="D17:D23" si="2">C17</f>
        <v>0.14000000000000001</v>
      </c>
      <c r="E17" s="459">
        <f t="shared" ref="E17:N17" si="3">D17</f>
        <v>0.14000000000000001</v>
      </c>
      <c r="F17" s="459">
        <f t="shared" si="3"/>
        <v>0.14000000000000001</v>
      </c>
      <c r="G17" s="459">
        <f t="shared" si="3"/>
        <v>0.14000000000000001</v>
      </c>
      <c r="H17" s="459">
        <f t="shared" si="3"/>
        <v>0.14000000000000001</v>
      </c>
      <c r="I17" s="459">
        <f t="shared" si="3"/>
        <v>0.14000000000000001</v>
      </c>
      <c r="J17" s="459">
        <f t="shared" si="3"/>
        <v>0.14000000000000001</v>
      </c>
      <c r="K17" s="459">
        <f t="shared" si="3"/>
        <v>0.14000000000000001</v>
      </c>
      <c r="L17" s="459">
        <f t="shared" si="3"/>
        <v>0.14000000000000001</v>
      </c>
      <c r="M17" s="459">
        <f t="shared" si="3"/>
        <v>0.14000000000000001</v>
      </c>
      <c r="N17" s="459">
        <f t="shared" si="3"/>
        <v>0.14000000000000001</v>
      </c>
      <c r="O17" s="28"/>
    </row>
    <row r="18" spans="1:15" ht="14.5">
      <c r="A18" s="490" t="s">
        <v>294</v>
      </c>
      <c r="B18" s="491" t="s">
        <v>283</v>
      </c>
      <c r="C18" s="460">
        <f>Indices_Margins!B81</f>
        <v>0.11</v>
      </c>
      <c r="D18" s="461">
        <f t="shared" si="2"/>
        <v>0.11</v>
      </c>
      <c r="E18" s="461">
        <f t="shared" ref="E18:N18" si="4">D18</f>
        <v>0.11</v>
      </c>
      <c r="F18" s="461">
        <f t="shared" si="4"/>
        <v>0.11</v>
      </c>
      <c r="G18" s="461">
        <f t="shared" si="4"/>
        <v>0.11</v>
      </c>
      <c r="H18" s="461">
        <f t="shared" si="4"/>
        <v>0.11</v>
      </c>
      <c r="I18" s="461">
        <f t="shared" si="4"/>
        <v>0.11</v>
      </c>
      <c r="J18" s="461">
        <f t="shared" si="4"/>
        <v>0.11</v>
      </c>
      <c r="K18" s="461">
        <f t="shared" si="4"/>
        <v>0.11</v>
      </c>
      <c r="L18" s="461">
        <f t="shared" si="4"/>
        <v>0.11</v>
      </c>
      <c r="M18" s="461">
        <f t="shared" si="4"/>
        <v>0.11</v>
      </c>
      <c r="N18" s="461">
        <f t="shared" si="4"/>
        <v>0.11</v>
      </c>
      <c r="O18" s="28"/>
    </row>
    <row r="19" spans="1:15" ht="14.5">
      <c r="A19" s="479"/>
      <c r="B19" s="491" t="s">
        <v>284</v>
      </c>
      <c r="C19" s="460">
        <f>Indices_Margins!B82</f>
        <v>0.1</v>
      </c>
      <c r="D19" s="461">
        <f t="shared" si="2"/>
        <v>0.1</v>
      </c>
      <c r="E19" s="461">
        <f t="shared" ref="E19:N19" si="5">D19</f>
        <v>0.1</v>
      </c>
      <c r="F19" s="461">
        <f t="shared" si="5"/>
        <v>0.1</v>
      </c>
      <c r="G19" s="461">
        <f t="shared" si="5"/>
        <v>0.1</v>
      </c>
      <c r="H19" s="461">
        <f t="shared" si="5"/>
        <v>0.1</v>
      </c>
      <c r="I19" s="461">
        <f t="shared" si="5"/>
        <v>0.1</v>
      </c>
      <c r="J19" s="461">
        <f t="shared" si="5"/>
        <v>0.1</v>
      </c>
      <c r="K19" s="461">
        <f t="shared" si="5"/>
        <v>0.1</v>
      </c>
      <c r="L19" s="461">
        <f t="shared" si="5"/>
        <v>0.1</v>
      </c>
      <c r="M19" s="461">
        <f t="shared" si="5"/>
        <v>0.1</v>
      </c>
      <c r="N19" s="461">
        <f t="shared" si="5"/>
        <v>0.1</v>
      </c>
      <c r="O19" s="28"/>
    </row>
    <row r="20" spans="1:15" ht="14.5">
      <c r="A20" s="479"/>
      <c r="B20" s="491" t="s">
        <v>285</v>
      </c>
      <c r="C20" s="460">
        <f>Indices_Margins!B83</f>
        <v>0.11</v>
      </c>
      <c r="D20" s="461">
        <f t="shared" si="2"/>
        <v>0.11</v>
      </c>
      <c r="E20" s="461">
        <f t="shared" ref="E20:N20" si="6">D20</f>
        <v>0.11</v>
      </c>
      <c r="F20" s="461">
        <f t="shared" si="6"/>
        <v>0.11</v>
      </c>
      <c r="G20" s="461">
        <f t="shared" si="6"/>
        <v>0.11</v>
      </c>
      <c r="H20" s="461">
        <f t="shared" si="6"/>
        <v>0.11</v>
      </c>
      <c r="I20" s="461">
        <f t="shared" si="6"/>
        <v>0.11</v>
      </c>
      <c r="J20" s="461">
        <f t="shared" si="6"/>
        <v>0.11</v>
      </c>
      <c r="K20" s="461">
        <f t="shared" si="6"/>
        <v>0.11</v>
      </c>
      <c r="L20" s="461">
        <f t="shared" si="6"/>
        <v>0.11</v>
      </c>
      <c r="M20" s="461">
        <f t="shared" si="6"/>
        <v>0.11</v>
      </c>
      <c r="N20" s="461">
        <f t="shared" si="6"/>
        <v>0.11</v>
      </c>
      <c r="O20" s="28"/>
    </row>
    <row r="21" spans="1:15" ht="14.5">
      <c r="A21" s="479"/>
      <c r="B21" s="491" t="s">
        <v>286</v>
      </c>
      <c r="C21" s="460">
        <f>Indices_Margins!B84</f>
        <v>0.11</v>
      </c>
      <c r="D21" s="461">
        <f t="shared" si="2"/>
        <v>0.11</v>
      </c>
      <c r="E21" s="461">
        <f t="shared" ref="E21:N21" si="7">D21</f>
        <v>0.11</v>
      </c>
      <c r="F21" s="461">
        <f t="shared" si="7"/>
        <v>0.11</v>
      </c>
      <c r="G21" s="461">
        <f t="shared" si="7"/>
        <v>0.11</v>
      </c>
      <c r="H21" s="461">
        <f t="shared" si="7"/>
        <v>0.11</v>
      </c>
      <c r="I21" s="461">
        <f t="shared" si="7"/>
        <v>0.11</v>
      </c>
      <c r="J21" s="461">
        <f t="shared" si="7"/>
        <v>0.11</v>
      </c>
      <c r="K21" s="461">
        <f t="shared" si="7"/>
        <v>0.11</v>
      </c>
      <c r="L21" s="461">
        <f t="shared" si="7"/>
        <v>0.11</v>
      </c>
      <c r="M21" s="461">
        <f t="shared" si="7"/>
        <v>0.11</v>
      </c>
      <c r="N21" s="461">
        <f t="shared" si="7"/>
        <v>0.11</v>
      </c>
      <c r="O21" s="28"/>
    </row>
    <row r="22" spans="1:15" ht="14.5">
      <c r="A22" s="479"/>
      <c r="B22" s="491" t="s">
        <v>287</v>
      </c>
      <c r="C22" s="460">
        <f>Indices_Margins!B85</f>
        <v>0.16</v>
      </c>
      <c r="D22" s="461">
        <f t="shared" si="2"/>
        <v>0.16</v>
      </c>
      <c r="E22" s="461">
        <f t="shared" ref="E22:N22" si="8">D22</f>
        <v>0.16</v>
      </c>
      <c r="F22" s="461">
        <f t="shared" si="8"/>
        <v>0.16</v>
      </c>
      <c r="G22" s="461">
        <f t="shared" si="8"/>
        <v>0.16</v>
      </c>
      <c r="H22" s="461">
        <f t="shared" si="8"/>
        <v>0.16</v>
      </c>
      <c r="I22" s="461">
        <f t="shared" si="8"/>
        <v>0.16</v>
      </c>
      <c r="J22" s="461">
        <f t="shared" si="8"/>
        <v>0.16</v>
      </c>
      <c r="K22" s="461">
        <f t="shared" si="8"/>
        <v>0.16</v>
      </c>
      <c r="L22" s="461">
        <f t="shared" si="8"/>
        <v>0.16</v>
      </c>
      <c r="M22" s="461">
        <f t="shared" si="8"/>
        <v>0.16</v>
      </c>
      <c r="N22" s="461">
        <f t="shared" si="8"/>
        <v>0.16</v>
      </c>
      <c r="O22" s="28"/>
    </row>
    <row r="23" spans="1:15" ht="15" thickBot="1">
      <c r="A23" s="492"/>
      <c r="B23" s="493" t="s">
        <v>288</v>
      </c>
      <c r="C23" s="462">
        <f>Indices_Margins!B86</f>
        <v>0.23</v>
      </c>
      <c r="D23" s="463">
        <f t="shared" si="2"/>
        <v>0.23</v>
      </c>
      <c r="E23" s="463">
        <f t="shared" ref="E23:N23" si="9">D23</f>
        <v>0.23</v>
      </c>
      <c r="F23" s="463">
        <f t="shared" si="9"/>
        <v>0.23</v>
      </c>
      <c r="G23" s="463">
        <f t="shared" si="9"/>
        <v>0.23</v>
      </c>
      <c r="H23" s="463">
        <f t="shared" si="9"/>
        <v>0.23</v>
      </c>
      <c r="I23" s="463">
        <f t="shared" si="9"/>
        <v>0.23</v>
      </c>
      <c r="J23" s="463">
        <f t="shared" si="9"/>
        <v>0.23</v>
      </c>
      <c r="K23" s="463">
        <f t="shared" si="9"/>
        <v>0.23</v>
      </c>
      <c r="L23" s="463">
        <f t="shared" si="9"/>
        <v>0.23</v>
      </c>
      <c r="M23" s="463">
        <f t="shared" si="9"/>
        <v>0.23</v>
      </c>
      <c r="N23" s="463">
        <f t="shared" si="9"/>
        <v>0.23</v>
      </c>
      <c r="O23" s="28"/>
    </row>
    <row r="24" spans="1:15" ht="14.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1"/>
    </row>
    <row r="25" spans="1:15" ht="14.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1"/>
    </row>
    <row r="26" spans="1:15" s="496" customFormat="1" ht="14.5">
      <c r="A26" s="494"/>
      <c r="B26" s="494"/>
      <c r="C26" s="495">
        <f>C5</f>
        <v>44561</v>
      </c>
      <c r="D26" s="495">
        <f t="shared" ref="D26:N26" si="10">D5</f>
        <v>44592</v>
      </c>
      <c r="E26" s="495">
        <f t="shared" si="10"/>
        <v>44620</v>
      </c>
      <c r="F26" s="495">
        <f t="shared" si="10"/>
        <v>44651</v>
      </c>
      <c r="G26" s="495">
        <f t="shared" si="10"/>
        <v>44681</v>
      </c>
      <c r="H26" s="495">
        <f t="shared" si="10"/>
        <v>44712</v>
      </c>
      <c r="I26" s="495">
        <f t="shared" si="10"/>
        <v>44742</v>
      </c>
      <c r="J26" s="495">
        <f t="shared" si="10"/>
        <v>44773</v>
      </c>
      <c r="K26" s="495">
        <f t="shared" si="10"/>
        <v>44804</v>
      </c>
      <c r="L26" s="495">
        <f t="shared" si="10"/>
        <v>44834</v>
      </c>
      <c r="M26" s="495">
        <f t="shared" si="10"/>
        <v>44865</v>
      </c>
      <c r="N26" s="495">
        <f t="shared" si="10"/>
        <v>44895</v>
      </c>
      <c r="O26" s="3"/>
    </row>
    <row r="27" spans="1:15" ht="15" thickBot="1">
      <c r="A27" s="37"/>
      <c r="B27" s="37"/>
      <c r="C27" s="497"/>
      <c r="D27" s="497"/>
      <c r="E27" s="497"/>
      <c r="F27" s="497"/>
      <c r="G27" s="497"/>
      <c r="H27" s="497"/>
      <c r="I27" s="497"/>
      <c r="J27" s="497"/>
      <c r="K27" s="497"/>
      <c r="L27" s="497"/>
      <c r="M27" s="497"/>
      <c r="N27" s="497"/>
      <c r="O27" s="1"/>
    </row>
    <row r="28" spans="1:15" ht="16" thickBot="1">
      <c r="A28" s="488" t="s">
        <v>296</v>
      </c>
      <c r="B28" s="498" t="s">
        <v>282</v>
      </c>
      <c r="C28" s="464" t="e">
        <f>(C17*C14)</f>
        <v>#DIV/0!</v>
      </c>
      <c r="D28" s="464" t="e">
        <f t="shared" ref="D28:N28" si="11">(D17*D14)</f>
        <v>#DIV/0!</v>
      </c>
      <c r="E28" s="464" t="e">
        <f t="shared" si="11"/>
        <v>#DIV/0!</v>
      </c>
      <c r="F28" s="464" t="e">
        <f t="shared" si="11"/>
        <v>#DIV/0!</v>
      </c>
      <c r="G28" s="464" t="e">
        <f t="shared" si="11"/>
        <v>#DIV/0!</v>
      </c>
      <c r="H28" s="464" t="e">
        <f t="shared" si="11"/>
        <v>#DIV/0!</v>
      </c>
      <c r="I28" s="464" t="e">
        <f t="shared" si="11"/>
        <v>#DIV/0!</v>
      </c>
      <c r="J28" s="464" t="e">
        <f t="shared" si="11"/>
        <v>#DIV/0!</v>
      </c>
      <c r="K28" s="464" t="e">
        <f t="shared" si="11"/>
        <v>#DIV/0!</v>
      </c>
      <c r="L28" s="464" t="e">
        <f t="shared" si="11"/>
        <v>#DIV/0!</v>
      </c>
      <c r="M28" s="464" t="e">
        <f t="shared" si="11"/>
        <v>#DIV/0!</v>
      </c>
      <c r="N28" s="465" t="e">
        <f t="shared" si="11"/>
        <v>#DIV/0!</v>
      </c>
      <c r="O28" s="1"/>
    </row>
    <row r="29" spans="1:15" ht="14.5">
      <c r="B29" s="499" t="s">
        <v>283</v>
      </c>
      <c r="C29" s="466" t="e">
        <f>(C18*C14)</f>
        <v>#DIV/0!</v>
      </c>
      <c r="D29" s="466" t="e">
        <f t="shared" ref="D29:N29" si="12">(D18*D14)</f>
        <v>#DIV/0!</v>
      </c>
      <c r="E29" s="466" t="e">
        <f t="shared" si="12"/>
        <v>#DIV/0!</v>
      </c>
      <c r="F29" s="466" t="e">
        <f t="shared" si="12"/>
        <v>#DIV/0!</v>
      </c>
      <c r="G29" s="466" t="e">
        <f t="shared" si="12"/>
        <v>#DIV/0!</v>
      </c>
      <c r="H29" s="466" t="e">
        <f t="shared" si="12"/>
        <v>#DIV/0!</v>
      </c>
      <c r="I29" s="466" t="e">
        <f t="shared" si="12"/>
        <v>#DIV/0!</v>
      </c>
      <c r="J29" s="466" t="e">
        <f t="shared" si="12"/>
        <v>#DIV/0!</v>
      </c>
      <c r="K29" s="466" t="e">
        <f t="shared" si="12"/>
        <v>#DIV/0!</v>
      </c>
      <c r="L29" s="466" t="e">
        <f t="shared" si="12"/>
        <v>#DIV/0!</v>
      </c>
      <c r="M29" s="466" t="e">
        <f t="shared" si="12"/>
        <v>#DIV/0!</v>
      </c>
      <c r="N29" s="467" t="e">
        <f t="shared" si="12"/>
        <v>#DIV/0!</v>
      </c>
      <c r="O29" s="1"/>
    </row>
    <row r="30" spans="1:15" ht="14.5">
      <c r="A30" s="479"/>
      <c r="B30" s="499" t="s">
        <v>284</v>
      </c>
      <c r="C30" s="466" t="e">
        <f>(C19*C14)</f>
        <v>#DIV/0!</v>
      </c>
      <c r="D30" s="466" t="e">
        <f t="shared" ref="D30:N30" si="13">(D19*D14)</f>
        <v>#DIV/0!</v>
      </c>
      <c r="E30" s="466" t="e">
        <f t="shared" si="13"/>
        <v>#DIV/0!</v>
      </c>
      <c r="F30" s="466" t="e">
        <f t="shared" si="13"/>
        <v>#DIV/0!</v>
      </c>
      <c r="G30" s="466" t="e">
        <f t="shared" si="13"/>
        <v>#DIV/0!</v>
      </c>
      <c r="H30" s="466" t="e">
        <f t="shared" si="13"/>
        <v>#DIV/0!</v>
      </c>
      <c r="I30" s="466" t="e">
        <f t="shared" si="13"/>
        <v>#DIV/0!</v>
      </c>
      <c r="J30" s="466" t="e">
        <f t="shared" si="13"/>
        <v>#DIV/0!</v>
      </c>
      <c r="K30" s="466" t="e">
        <f t="shared" si="13"/>
        <v>#DIV/0!</v>
      </c>
      <c r="L30" s="466" t="e">
        <f t="shared" si="13"/>
        <v>#DIV/0!</v>
      </c>
      <c r="M30" s="466" t="e">
        <f t="shared" si="13"/>
        <v>#DIV/0!</v>
      </c>
      <c r="N30" s="467" t="e">
        <f t="shared" si="13"/>
        <v>#DIV/0!</v>
      </c>
      <c r="O30" s="1"/>
    </row>
    <row r="31" spans="1:15" ht="14.5">
      <c r="A31" s="479"/>
      <c r="B31" s="499" t="s">
        <v>285</v>
      </c>
      <c r="C31" s="466" t="e">
        <f>(C20*C14)</f>
        <v>#DIV/0!</v>
      </c>
      <c r="D31" s="466" t="e">
        <f t="shared" ref="D31:N31" si="14">(D20*D14)</f>
        <v>#DIV/0!</v>
      </c>
      <c r="E31" s="466" t="e">
        <f t="shared" si="14"/>
        <v>#DIV/0!</v>
      </c>
      <c r="F31" s="466" t="e">
        <f t="shared" si="14"/>
        <v>#DIV/0!</v>
      </c>
      <c r="G31" s="466" t="e">
        <f t="shared" si="14"/>
        <v>#DIV/0!</v>
      </c>
      <c r="H31" s="466" t="e">
        <f t="shared" si="14"/>
        <v>#DIV/0!</v>
      </c>
      <c r="I31" s="466" t="e">
        <f t="shared" si="14"/>
        <v>#DIV/0!</v>
      </c>
      <c r="J31" s="466" t="e">
        <f t="shared" si="14"/>
        <v>#DIV/0!</v>
      </c>
      <c r="K31" s="466" t="e">
        <f t="shared" si="14"/>
        <v>#DIV/0!</v>
      </c>
      <c r="L31" s="466" t="e">
        <f t="shared" si="14"/>
        <v>#DIV/0!</v>
      </c>
      <c r="M31" s="466" t="e">
        <f t="shared" si="14"/>
        <v>#DIV/0!</v>
      </c>
      <c r="N31" s="467" t="e">
        <f t="shared" si="14"/>
        <v>#DIV/0!</v>
      </c>
      <c r="O31" s="1"/>
    </row>
    <row r="32" spans="1:15" ht="14.5">
      <c r="A32" s="479"/>
      <c r="B32" s="499" t="s">
        <v>286</v>
      </c>
      <c r="C32" s="466" t="e">
        <f>(C21*C14)</f>
        <v>#DIV/0!</v>
      </c>
      <c r="D32" s="466" t="e">
        <f t="shared" ref="D32:N32" si="15">(D21*D14)</f>
        <v>#DIV/0!</v>
      </c>
      <c r="E32" s="466" t="e">
        <f t="shared" si="15"/>
        <v>#DIV/0!</v>
      </c>
      <c r="F32" s="466" t="e">
        <f t="shared" si="15"/>
        <v>#DIV/0!</v>
      </c>
      <c r="G32" s="466" t="e">
        <f t="shared" si="15"/>
        <v>#DIV/0!</v>
      </c>
      <c r="H32" s="466" t="e">
        <f t="shared" si="15"/>
        <v>#DIV/0!</v>
      </c>
      <c r="I32" s="466" t="e">
        <f t="shared" si="15"/>
        <v>#DIV/0!</v>
      </c>
      <c r="J32" s="466" t="e">
        <f t="shared" si="15"/>
        <v>#DIV/0!</v>
      </c>
      <c r="K32" s="466" t="e">
        <f t="shared" si="15"/>
        <v>#DIV/0!</v>
      </c>
      <c r="L32" s="466" t="e">
        <f t="shared" si="15"/>
        <v>#DIV/0!</v>
      </c>
      <c r="M32" s="466" t="e">
        <f t="shared" si="15"/>
        <v>#DIV/0!</v>
      </c>
      <c r="N32" s="467" t="e">
        <f t="shared" si="15"/>
        <v>#DIV/0!</v>
      </c>
      <c r="O32" s="1"/>
    </row>
    <row r="33" spans="1:15" ht="14.5">
      <c r="A33" s="479"/>
      <c r="B33" s="499" t="s">
        <v>287</v>
      </c>
      <c r="C33" s="466" t="e">
        <f>(C22*C14)</f>
        <v>#DIV/0!</v>
      </c>
      <c r="D33" s="466" t="e">
        <f t="shared" ref="D33:N33" si="16">(D22*D14)</f>
        <v>#DIV/0!</v>
      </c>
      <c r="E33" s="466" t="e">
        <f t="shared" si="16"/>
        <v>#DIV/0!</v>
      </c>
      <c r="F33" s="466" t="e">
        <f t="shared" si="16"/>
        <v>#DIV/0!</v>
      </c>
      <c r="G33" s="466" t="e">
        <f t="shared" si="16"/>
        <v>#DIV/0!</v>
      </c>
      <c r="H33" s="466" t="e">
        <f t="shared" si="16"/>
        <v>#DIV/0!</v>
      </c>
      <c r="I33" s="466" t="e">
        <f t="shared" si="16"/>
        <v>#DIV/0!</v>
      </c>
      <c r="J33" s="466" t="e">
        <f t="shared" si="16"/>
        <v>#DIV/0!</v>
      </c>
      <c r="K33" s="466" t="e">
        <f t="shared" si="16"/>
        <v>#DIV/0!</v>
      </c>
      <c r="L33" s="466" t="e">
        <f t="shared" si="16"/>
        <v>#DIV/0!</v>
      </c>
      <c r="M33" s="466" t="e">
        <f t="shared" si="16"/>
        <v>#DIV/0!</v>
      </c>
      <c r="N33" s="467" t="e">
        <f t="shared" si="16"/>
        <v>#DIV/0!</v>
      </c>
      <c r="O33" s="1"/>
    </row>
    <row r="34" spans="1:15" ht="15" thickBot="1">
      <c r="A34" s="492"/>
      <c r="B34" s="500" t="s">
        <v>288</v>
      </c>
      <c r="C34" s="468" t="e">
        <f>(C23*C14)</f>
        <v>#DIV/0!</v>
      </c>
      <c r="D34" s="468" t="e">
        <f t="shared" ref="D34:N34" si="17">(D23*D14)</f>
        <v>#DIV/0!</v>
      </c>
      <c r="E34" s="468" t="e">
        <f t="shared" si="17"/>
        <v>#DIV/0!</v>
      </c>
      <c r="F34" s="468" t="e">
        <f t="shared" si="17"/>
        <v>#DIV/0!</v>
      </c>
      <c r="G34" s="468" t="e">
        <f t="shared" si="17"/>
        <v>#DIV/0!</v>
      </c>
      <c r="H34" s="468" t="e">
        <f t="shared" si="17"/>
        <v>#DIV/0!</v>
      </c>
      <c r="I34" s="468" t="e">
        <f t="shared" si="17"/>
        <v>#DIV/0!</v>
      </c>
      <c r="J34" s="468" t="e">
        <f t="shared" si="17"/>
        <v>#DIV/0!</v>
      </c>
      <c r="K34" s="468" t="e">
        <f t="shared" si="17"/>
        <v>#DIV/0!</v>
      </c>
      <c r="L34" s="468" t="e">
        <f t="shared" si="17"/>
        <v>#DIV/0!</v>
      </c>
      <c r="M34" s="468" t="e">
        <f t="shared" si="17"/>
        <v>#DIV/0!</v>
      </c>
      <c r="N34" s="469" t="e">
        <f t="shared" si="17"/>
        <v>#DIV/0!</v>
      </c>
      <c r="O34" s="1"/>
    </row>
    <row r="35" spans="1:15" ht="13">
      <c r="B35" s="22" t="s">
        <v>299</v>
      </c>
      <c r="C35" s="22"/>
      <c r="D35" s="22"/>
      <c r="E35" s="22"/>
      <c r="F35" s="22"/>
    </row>
  </sheetData>
  <sheetProtection algorithmName="SHA-512" hashValue="7t9j5lO6h3sbDMehV1bfQQzo91ZGgnkooGpU2ElLDvcOEBFRduk2qTgawNPqgX+0d5Q3hq1QMKOYJeyC3UsWNw==" saltValue="Gs02+lrNk68iFDAEbd/D4g==" spinCount="100000" sheet="1" selectLockedCells="1"/>
  <conditionalFormatting sqref="C7:O34">
    <cfRule type="cellIs" dxfId="0" priority="1" operator="lessThan">
      <formula>0</formula>
    </cfRule>
  </conditionalFormatting>
  <pageMargins left="0.7" right="0.7" top="0.75" bottom="0.75" header="0.3" footer="0.3"/>
  <pageSetup scale="6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PersistId xmlns="be88c445-8b6f-45ed-8b32-858cc88cb761">false</_dlc_DocIdPersistId>
    <_dlc_DocId xmlns="be88c445-8b6f-45ed-8b32-858cc88cb761">YYKKE2XNCRAJ-3-261174</_dlc_DocId>
    <_dlc_DocIdUrl xmlns="be88c445-8b6f-45ed-8b32-858cc88cb761">
      <Url>https://sharepoint.winmarkcorporation.com/sites/crm/_layouts/15/DocIdRedir.aspx?ID=YYKKE2XNCRAJ-3-261174</Url>
      <Description>YYKKE2XNCRAJ-3-261174</Description>
    </_dlc_DocIdUrl>
    <Run_x0020_Marketing_x0020_Workflow xmlns="ef26c0a7-f783-4b99-974a-9f2249cbb07c" xsi:nil="true"/>
    <SubFolders xmlns="be88c445-8b6f-45ed-8b32-858cc88cb761">New</SubFold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7EDEC188B8274F8DF2A294B34808E2" ma:contentTypeVersion="7" ma:contentTypeDescription="Create a new document." ma:contentTypeScope="" ma:versionID="e683b4d1ddb487a971096c3ad2780f93">
  <xsd:schema xmlns:xsd="http://www.w3.org/2001/XMLSchema" xmlns:xs="http://www.w3.org/2001/XMLSchema" xmlns:p="http://schemas.microsoft.com/office/2006/metadata/properties" xmlns:ns2="be88c445-8b6f-45ed-8b32-858cc88cb761" xmlns:ns3="ef26c0a7-f783-4b99-974a-9f2249cbb07c" targetNamespace="http://schemas.microsoft.com/office/2006/metadata/properties" ma:root="true" ma:fieldsID="ad8e32e4d2adf1b78a8e52d3903c1c66" ns2:_="" ns3:_="">
    <xsd:import namespace="be88c445-8b6f-45ed-8b32-858cc88cb761"/>
    <xsd:import namespace="ef26c0a7-f783-4b99-974a-9f2249cbb07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ubFolders" minOccurs="0"/>
                <xsd:element ref="ns3:Run_x0020_Marketing_x0020_Workflow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8c445-8b6f-45ed-8b32-858cc88cb76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ubFolders" ma:index="11" nillable="true" ma:displayName="SubFolders" ma:default="New" ma:format="Dropdown" ma:internalName="SubFolders">
      <xsd:simpleType>
        <xsd:restriction base="dms:Choice">
          <xsd:enumeration value="New"/>
          <xsd:enumeration value="Pending"/>
          <xsd:enumeration value="Creating"/>
          <xsd:enumeration value="Created"/>
        </xsd:restriction>
      </xsd:simpleType>
    </xsd:element>
    <xsd:element name="SharedWithUsers" ma:index="15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26c0a7-f783-4b99-974a-9f2249cbb07c" elementFormDefault="qualified">
    <xsd:import namespace="http://schemas.microsoft.com/office/2006/documentManagement/types"/>
    <xsd:import namespace="http://schemas.microsoft.com/office/infopath/2007/PartnerControls"/>
    <xsd:element name="Run_x0020_Marketing_x0020_Workflow" ma:index="14" nillable="true" ma:displayName="Run Marketing Workflow" ma:internalName="Run_x0020_Marketing_x0020_Workflow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FE12F4-8CFF-417A-A8F9-488EC9177DC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CEC1534-690C-4626-952A-C93BE2021E94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ef26c0a7-f783-4b99-974a-9f2249cbb07c"/>
    <ds:schemaRef ds:uri="be88c445-8b6f-45ed-8b32-858cc88cb76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B3EAD5B-203F-401E-A503-7949498EDD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88c445-8b6f-45ed-8b32-858cc88cb761"/>
    <ds:schemaRef ds:uri="ef26c0a7-f783-4b99-974a-9f2249cbb0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F2D9768-4223-4F3A-BA11-66BC2FC9EC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Indices_Margins</vt:lpstr>
      <vt:lpstr>Input</vt:lpstr>
      <vt:lpstr>P&amp;LY1</vt:lpstr>
      <vt:lpstr>Actuals</vt:lpstr>
      <vt:lpstr>P&amp;LY2</vt:lpstr>
      <vt:lpstr>Breakeven Calculation</vt:lpstr>
      <vt:lpstr>Payroll Budget</vt:lpstr>
      <vt:lpstr>Input!Print_Area</vt:lpstr>
      <vt:lpstr>'P&amp;LY1'!Print_Area</vt:lpstr>
      <vt:lpstr>'P&amp;LY2'!Print_Area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2021_BusinessPlan_Rogers_21115</dc:title>
  <dc:creator>Rochelle Weathers</dc:creator>
  <cp:keywords/>
  <cp:lastModifiedBy>Mamie Sasum Njie</cp:lastModifiedBy>
  <cp:lastPrinted>2024-12-03T19:34:17Z</cp:lastPrinted>
  <dcterms:created xsi:type="dcterms:W3CDTF">1999-10-13T15:14:33Z</dcterms:created>
  <dcterms:modified xsi:type="dcterms:W3CDTF">2026-03-25T22:28:43Z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0x010100A07EDEC188B8274F8DF2A294B34808E2</vt:lpwstr>
  </property>
  <property fmtid="{D5CDD505-2E9C-101B-9397-08002B2CF9AE}" pid="3" name="_dlc_DocIdItemGuid">
    <vt:lpwstr>13118f1e-0230-4b40-87d0-5adca7aa30a4</vt:lpwstr>
  </property>
  <property fmtid="{D5CDD505-2E9C-101B-9397-08002B2CF9AE}" pid="4" name="Vendor">
    <vt:lpwstr/>
  </property>
  <property fmtid="{D5CDD505-2E9C-101B-9397-08002B2CF9AE}" pid="5" name="o9b5d1c9c36044909a449d44b8324f0b">
    <vt:lpwstr/>
  </property>
  <property fmtid="{D5CDD505-2E9C-101B-9397-08002B2CF9AE}" pid="6" name="Topic">
    <vt:lpwstr>5;#Store Operations|10ada358-0af8-4176-8f77-2bbca4939452</vt:lpwstr>
  </property>
  <property fmtid="{D5CDD505-2E9C-101B-9397-08002B2CF9AE}" pid="7" name="bf00288dc8d84722a76897bd646d42b7">
    <vt:lpwstr/>
  </property>
  <property fmtid="{D5CDD505-2E9C-101B-9397-08002B2CF9AE}" pid="8" name="ManualType">
    <vt:lpwstr/>
  </property>
  <property fmtid="{D5CDD505-2E9C-101B-9397-08002B2CF9AE}" pid="9" name="nf3fe819bf0444f7bfb0c6b03a8a9833">
    <vt:lpwstr/>
  </property>
  <property fmtid="{D5CDD505-2E9C-101B-9397-08002B2CF9AE}" pid="10" name="ToolType">
    <vt:lpwstr/>
  </property>
  <property fmtid="{D5CDD505-2E9C-101B-9397-08002B2CF9AE}" pid="11" name="CatSeason">
    <vt:lpwstr/>
  </property>
  <property fmtid="{D5CDD505-2E9C-101B-9397-08002B2CF9AE}" pid="12" name="BuyingGuideSection">
    <vt:lpwstr/>
  </property>
  <property fmtid="{D5CDD505-2E9C-101B-9397-08002B2CF9AE}" pid="13" name="dcc833cd0e324a00aa3feda4de7bf5f3">
    <vt:lpwstr/>
  </property>
  <property fmtid="{D5CDD505-2E9C-101B-9397-08002B2CF9AE}" pid="14" name="CommType">
    <vt:lpwstr/>
  </property>
  <property fmtid="{D5CDD505-2E9C-101B-9397-08002B2CF9AE}" pid="15" name="ListChartType">
    <vt:lpwstr/>
  </property>
  <property fmtid="{D5CDD505-2E9C-101B-9397-08002B2CF9AE}" pid="16" name="l0e74771a3a040d18f272560b111b3b8">
    <vt:lpwstr/>
  </property>
  <property fmtid="{D5CDD505-2E9C-101B-9397-08002B2CF9AE}" pid="17" name="ma73e77517144dc697d98cff9a75acdf">
    <vt:lpwstr/>
  </property>
  <property fmtid="{D5CDD505-2E9C-101B-9397-08002B2CF9AE}" pid="18" name="hf54d1e035e849a09c101ec76bc0b826">
    <vt:lpwstr/>
  </property>
  <property fmtid="{D5CDD505-2E9C-101B-9397-08002B2CF9AE}" pid="19" name="VideoType">
    <vt:lpwstr/>
  </property>
  <property fmtid="{D5CDD505-2E9C-101B-9397-08002B2CF9AE}" pid="20" name="a300baef4fb642a182377fc6684b2e40">
    <vt:lpwstr/>
  </property>
  <property fmtid="{D5CDD505-2E9C-101B-9397-08002B2CF9AE}" pid="21" name="PolicyProcedureType">
    <vt:lpwstr/>
  </property>
  <property fmtid="{D5CDD505-2E9C-101B-9397-08002B2CF9AE}" pid="22" name="Brand">
    <vt:lpwstr>7;#All|dee6c19a-7f4d-4bad-b760-61083d175994</vt:lpwstr>
  </property>
  <property fmtid="{D5CDD505-2E9C-101B-9397-08002B2CF9AE}" pid="23" name="n90508ab050446baab474ace99fb074e">
    <vt:lpwstr/>
  </property>
  <property fmtid="{D5CDD505-2E9C-101B-9397-08002B2CF9AE}" pid="24" name="gc236677086648d3aaa06f2eec6aa7d7">
    <vt:lpwstr/>
  </property>
  <property fmtid="{D5CDD505-2E9C-101B-9397-08002B2CF9AE}" pid="25" name="Country">
    <vt:lpwstr/>
  </property>
  <property fmtid="{D5CDD505-2E9C-101B-9397-08002B2CF9AE}" pid="26" name="i253752df81347cfacca2c98facc4627">
    <vt:lpwstr/>
  </property>
  <property fmtid="{D5CDD505-2E9C-101B-9397-08002B2CF9AE}" pid="27" name="j0a162cb1db34f65bf8faf17b42875d3">
    <vt:lpwstr/>
  </property>
  <property fmtid="{D5CDD505-2E9C-101B-9397-08002B2CF9AE}" pid="28" name="BuyingGuideType">
    <vt:lpwstr/>
  </property>
  <property fmtid="{D5CDD505-2E9C-101B-9397-08002B2CF9AE}" pid="29" name="SignageType">
    <vt:lpwstr/>
  </property>
  <property fmtid="{D5CDD505-2E9C-101B-9397-08002B2CF9AE}" pid="30" name="Subtopic">
    <vt:lpwstr/>
  </property>
  <property fmtid="{D5CDD505-2E9C-101B-9397-08002B2CF9AE}" pid="31" name="Program">
    <vt:lpwstr/>
  </property>
  <property fmtid="{D5CDD505-2E9C-101B-9397-08002B2CF9AE}" pid="32" name="ImageType">
    <vt:lpwstr/>
  </property>
  <property fmtid="{D5CDD505-2E9C-101B-9397-08002B2CF9AE}" pid="33" name="SystemVersion">
    <vt:lpwstr/>
  </property>
  <property fmtid="{D5CDD505-2E9C-101B-9397-08002B2CF9AE}" pid="34" name="FlyerCouponType">
    <vt:lpwstr/>
  </property>
  <property fmtid="{D5CDD505-2E9C-101B-9397-08002B2CF9AE}" pid="35" name="ReportType">
    <vt:lpwstr/>
  </property>
  <property fmtid="{D5CDD505-2E9C-101B-9397-08002B2CF9AE}" pid="36" name="c52ca910747b41b0996e60d21d24eb90">
    <vt:lpwstr/>
  </property>
  <property fmtid="{D5CDD505-2E9C-101B-9397-08002B2CF9AE}" pid="37" name="ofebab55804044908e913ca98ed075b8">
    <vt:lpwstr/>
  </property>
  <property fmtid="{D5CDD505-2E9C-101B-9397-08002B2CF9AE}" pid="38" name="a8b0935ef20d417bad6c04b513f7596e">
    <vt:lpwstr/>
  </property>
  <property fmtid="{D5CDD505-2E9C-101B-9397-08002B2CF9AE}" pid="39" name="ExtLoc">
    <vt:lpwstr/>
  </property>
</Properties>
</file>